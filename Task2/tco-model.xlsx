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YandexDisk\Studying\Architecture\Practice work 9\Task2\"/>
    </mc:Choice>
  </mc:AlternateContent>
  <bookViews>
    <workbookView xWindow="0" yWindow="0" windowWidth="28800" windowHeight="12315" activeTab="1"/>
  </bookViews>
  <sheets>
    <sheet name="Инструкция" sheetId="1" r:id="rId1"/>
    <sheet name="Допущения" sheetId="2" r:id="rId2"/>
    <sheet name="TCO Монолит" sheetId="3" r:id="rId3"/>
    <sheet name="TCO EDA" sheetId="4" r:id="rId4"/>
    <sheet name="TCO Oracle" sheetId="5" r:id="rId5"/>
  </sheets>
  <externalReferences>
    <externalReference r:id="rId6"/>
    <externalReference r:id="rId7"/>
  </externalReferences>
  <calcPr calcId="152511"/>
  <extLst>
    <ext uri="GoogleSheetsCustomDataVersion2">
      <go:sheetsCustomData xmlns:go="http://customooxmlschemas.google.com/" r:id="rId8" roundtripDataChecksum="s1gNHq3pXRMNuR9zTBGmXgJKbQ3SM3fGus9ppFAMrRg="/>
    </ext>
  </extLst>
</workbook>
</file>

<file path=xl/calcChain.xml><?xml version="1.0" encoding="utf-8"?>
<calcChain xmlns="http://schemas.openxmlformats.org/spreadsheetml/2006/main">
  <c r="I55" i="5" l="1"/>
  <c r="H55" i="5"/>
  <c r="G55" i="5"/>
  <c r="F55" i="5"/>
  <c r="E55" i="5"/>
  <c r="I53" i="5"/>
  <c r="H53" i="5"/>
  <c r="G53" i="5"/>
  <c r="F53" i="5"/>
  <c r="E53" i="5"/>
  <c r="I47" i="5" a="1"/>
  <c r="I47" i="5" s="1"/>
  <c r="H47" i="5" a="1"/>
  <c r="H47" i="5" s="1"/>
  <c r="G47" i="5" a="1"/>
  <c r="G47" i="5" s="1"/>
  <c r="F47" i="5" a="1"/>
  <c r="F47" i="5" s="1"/>
  <c r="E47" i="5" a="1"/>
  <c r="E47" i="5" s="1"/>
  <c r="J47" i="5" s="1"/>
  <c r="I46" i="5" a="1"/>
  <c r="I46" i="5" s="1"/>
  <c r="H46" i="5" a="1"/>
  <c r="H46" i="5" s="1"/>
  <c r="G46" i="5" a="1"/>
  <c r="G46" i="5" s="1"/>
  <c r="F46" i="5" a="1"/>
  <c r="F46" i="5" s="1"/>
  <c r="E46" i="5" a="1"/>
  <c r="E46" i="5" s="1"/>
  <c r="I45" i="5" a="1"/>
  <c r="I45" i="5" s="1"/>
  <c r="H45" i="5" a="1"/>
  <c r="H45" i="5" s="1"/>
  <c r="G45" i="5" a="1"/>
  <c r="G45" i="5" s="1"/>
  <c r="F45" i="5" a="1"/>
  <c r="F45" i="5" s="1"/>
  <c r="E45" i="5" a="1"/>
  <c r="E45" i="5" s="1"/>
  <c r="I44" i="5" a="1"/>
  <c r="I44" i="5" s="1"/>
  <c r="H44" i="5" a="1"/>
  <c r="H44" i="5" s="1"/>
  <c r="G44" i="5" a="1"/>
  <c r="G44" i="5" s="1"/>
  <c r="F44" i="5" a="1"/>
  <c r="F44" i="5" s="1"/>
  <c r="E44" i="5" a="1"/>
  <c r="E44" i="5" s="1"/>
  <c r="I43" i="5"/>
  <c r="I43" i="5" a="1"/>
  <c r="H43" i="5"/>
  <c r="H43" i="5" a="1"/>
  <c r="G43" i="5" a="1"/>
  <c r="G43" i="5" s="1"/>
  <c r="F43" i="5" a="1"/>
  <c r="F43" i="5" s="1"/>
  <c r="E43" i="5" a="1"/>
  <c r="E43" i="5" s="1"/>
  <c r="I39" i="5" a="1"/>
  <c r="I39" i="5" s="1"/>
  <c r="H39" i="5" a="1"/>
  <c r="H39" i="5" s="1"/>
  <c r="G39" i="5" a="1"/>
  <c r="G39" i="5" s="1"/>
  <c r="F39" i="5" a="1"/>
  <c r="F39" i="5" s="1"/>
  <c r="E39" i="5" a="1"/>
  <c r="E39" i="5" s="1"/>
  <c r="I38" i="5" a="1"/>
  <c r="I38" i="5" s="1"/>
  <c r="H38" i="5" a="1"/>
  <c r="H38" i="5" s="1"/>
  <c r="G38" i="5" a="1"/>
  <c r="G38" i="5" s="1"/>
  <c r="F38" i="5" a="1"/>
  <c r="F38" i="5" s="1"/>
  <c r="E38" i="5" a="1"/>
  <c r="E38" i="5" s="1"/>
  <c r="I37" i="5" a="1"/>
  <c r="I37" i="5" s="1"/>
  <c r="H37" i="5" a="1"/>
  <c r="H37" i="5" s="1"/>
  <c r="G37" i="5" a="1"/>
  <c r="G37" i="5" s="1"/>
  <c r="J37" i="5" s="1"/>
  <c r="F37" i="5"/>
  <c r="F37" i="5" a="1"/>
  <c r="E37" i="5"/>
  <c r="E37" i="5" a="1"/>
  <c r="I36" i="5" a="1"/>
  <c r="I36" i="5" s="1"/>
  <c r="H36" i="5" a="1"/>
  <c r="H36" i="5" s="1"/>
  <c r="G36" i="5" a="1"/>
  <c r="G36" i="5" s="1"/>
  <c r="F36" i="5" a="1"/>
  <c r="F36" i="5" s="1"/>
  <c r="E36" i="5" a="1"/>
  <c r="E36" i="5" s="1"/>
  <c r="I35" i="5" a="1"/>
  <c r="I35" i="5" s="1"/>
  <c r="H35" i="5"/>
  <c r="H35" i="5" a="1"/>
  <c r="G35" i="5" a="1"/>
  <c r="G35" i="5" s="1"/>
  <c r="F35" i="5" a="1"/>
  <c r="F35" i="5" s="1"/>
  <c r="E35" i="5" a="1"/>
  <c r="E35" i="5" s="1"/>
  <c r="I31" i="5"/>
  <c r="I31" i="5" a="1"/>
  <c r="H31" i="5" a="1"/>
  <c r="H31" i="5" s="1"/>
  <c r="G31" i="5" a="1"/>
  <c r="G31" i="5" s="1"/>
  <c r="F31" i="5" a="1"/>
  <c r="F31" i="5" s="1"/>
  <c r="E31" i="5" a="1"/>
  <c r="E31" i="5" s="1"/>
  <c r="J31" i="5" s="1"/>
  <c r="I30" i="5" a="1"/>
  <c r="I30" i="5" s="1"/>
  <c r="H30" i="5" a="1"/>
  <c r="H30" i="5" s="1"/>
  <c r="G30" i="5" a="1"/>
  <c r="G30" i="5" s="1"/>
  <c r="F30" i="5" a="1"/>
  <c r="F30" i="5" s="1"/>
  <c r="E30" i="5" a="1"/>
  <c r="E30" i="5" s="1"/>
  <c r="I29" i="5" a="1"/>
  <c r="I29" i="5" s="1"/>
  <c r="H29" i="5" a="1"/>
  <c r="H29" i="5" s="1"/>
  <c r="G29" i="5" a="1"/>
  <c r="G29" i="5" s="1"/>
  <c r="F29" i="5" a="1"/>
  <c r="F29" i="5" s="1"/>
  <c r="E29" i="5" a="1"/>
  <c r="E29" i="5" s="1"/>
  <c r="I28" i="5" a="1"/>
  <c r="I28" i="5" s="1"/>
  <c r="H28" i="5" a="1"/>
  <c r="H28" i="5" s="1"/>
  <c r="G28" i="5" a="1"/>
  <c r="G28" i="5" s="1"/>
  <c r="F28" i="5" a="1"/>
  <c r="F28" i="5" s="1"/>
  <c r="E28" i="5" a="1"/>
  <c r="E28" i="5" s="1"/>
  <c r="I27" i="5" a="1"/>
  <c r="I27" i="5" s="1"/>
  <c r="I32" i="5" s="1"/>
  <c r="H27" i="5" a="1"/>
  <c r="H27" i="5" s="1"/>
  <c r="G27" i="5" a="1"/>
  <c r="G27" i="5" s="1"/>
  <c r="F27" i="5"/>
  <c r="F27" i="5" a="1"/>
  <c r="E27" i="5" a="1"/>
  <c r="E27" i="5" s="1"/>
  <c r="I23" i="5" a="1"/>
  <c r="I23" i="5" s="1"/>
  <c r="H23" i="5" a="1"/>
  <c r="H23" i="5" s="1"/>
  <c r="G23" i="5" a="1"/>
  <c r="G23" i="5" s="1"/>
  <c r="F23" i="5" a="1"/>
  <c r="F23" i="5" s="1"/>
  <c r="E23" i="5" a="1"/>
  <c r="E23" i="5" s="1"/>
  <c r="I22" i="5" a="1"/>
  <c r="I22" i="5" s="1"/>
  <c r="H22" i="5" a="1"/>
  <c r="H22" i="5" s="1"/>
  <c r="G22" i="5" a="1"/>
  <c r="G22" i="5" s="1"/>
  <c r="F22" i="5" a="1"/>
  <c r="F22" i="5" s="1"/>
  <c r="E22" i="5" a="1"/>
  <c r="E22" i="5" s="1"/>
  <c r="I21" i="5" a="1"/>
  <c r="I21" i="5" s="1"/>
  <c r="H21" i="5" a="1"/>
  <c r="H21" i="5" s="1"/>
  <c r="G21" i="5" a="1"/>
  <c r="G21" i="5" s="1"/>
  <c r="F21" i="5" a="1"/>
  <c r="F21" i="5" s="1"/>
  <c r="E21" i="5" a="1"/>
  <c r="E21" i="5" s="1"/>
  <c r="J21" i="5" s="1"/>
  <c r="I20" i="5" a="1"/>
  <c r="I20" i="5" s="1"/>
  <c r="H20" i="5" a="1"/>
  <c r="H20" i="5" s="1"/>
  <c r="G20" i="5" a="1"/>
  <c r="G20" i="5" s="1"/>
  <c r="F20" i="5" a="1"/>
  <c r="F20" i="5" s="1"/>
  <c r="E20" i="5" a="1"/>
  <c r="E20" i="5" s="1"/>
  <c r="I19" i="5" a="1"/>
  <c r="I19" i="5" s="1"/>
  <c r="H19" i="5" a="1"/>
  <c r="H19" i="5" s="1"/>
  <c r="G19" i="5" a="1"/>
  <c r="G19" i="5" s="1"/>
  <c r="F19" i="5" a="1"/>
  <c r="F19" i="5" s="1"/>
  <c r="E19" i="5" a="1"/>
  <c r="E19" i="5" s="1"/>
  <c r="I18" i="5" a="1"/>
  <c r="I18" i="5" s="1"/>
  <c r="H18" i="5" a="1"/>
  <c r="H18" i="5" s="1"/>
  <c r="G18" i="5" a="1"/>
  <c r="G18" i="5" s="1"/>
  <c r="F18" i="5" a="1"/>
  <c r="F18" i="5" s="1"/>
  <c r="E18" i="5" a="1"/>
  <c r="E18" i="5" s="1"/>
  <c r="I14" i="5" a="1"/>
  <c r="I14" i="5" s="1"/>
  <c r="H14" i="5" a="1"/>
  <c r="H14" i="5" s="1"/>
  <c r="G14" i="5" a="1"/>
  <c r="G14" i="5" s="1"/>
  <c r="F14" i="5" a="1"/>
  <c r="F14" i="5" s="1"/>
  <c r="E14" i="5" a="1"/>
  <c r="E14" i="5" s="1"/>
  <c r="I13" i="5" a="1"/>
  <c r="I13" i="5" s="1"/>
  <c r="H13" i="5" a="1"/>
  <c r="H13" i="5" s="1"/>
  <c r="G13" i="5" a="1"/>
  <c r="G13" i="5" s="1"/>
  <c r="F13" i="5" a="1"/>
  <c r="F13" i="5" s="1"/>
  <c r="E13" i="5" a="1"/>
  <c r="E13" i="5" s="1"/>
  <c r="I12" i="5" a="1"/>
  <c r="I12" i="5" s="1"/>
  <c r="H12" i="5" a="1"/>
  <c r="H12" i="5" s="1"/>
  <c r="G12" i="5"/>
  <c r="G12" i="5" a="1"/>
  <c r="F12" i="5" a="1"/>
  <c r="F12" i="5" s="1"/>
  <c r="E12" i="5" a="1"/>
  <c r="E12" i="5" s="1"/>
  <c r="J12" i="5" s="1"/>
  <c r="I11" i="5" a="1"/>
  <c r="I11" i="5" s="1"/>
  <c r="H11" i="5" a="1"/>
  <c r="H11" i="5" s="1"/>
  <c r="G11" i="5" a="1"/>
  <c r="G11" i="5" s="1"/>
  <c r="F11" i="5" a="1"/>
  <c r="F11" i="5" s="1"/>
  <c r="E11" i="5" a="1"/>
  <c r="E11" i="5" s="1"/>
  <c r="I10" i="5" a="1"/>
  <c r="I10" i="5" s="1"/>
  <c r="H10" i="5" a="1"/>
  <c r="H10" i="5" s="1"/>
  <c r="G10" i="5" a="1"/>
  <c r="G10" i="5" s="1"/>
  <c r="F10" i="5" a="1"/>
  <c r="F10" i="5" s="1"/>
  <c r="E10" i="5" a="1"/>
  <c r="E10" i="5" s="1"/>
  <c r="I9" i="5" a="1"/>
  <c r="I9" i="5" s="1"/>
  <c r="H9" i="5" a="1"/>
  <c r="H9" i="5" s="1"/>
  <c r="G9" i="5" a="1"/>
  <c r="G9" i="5" s="1"/>
  <c r="F9" i="5" a="1"/>
  <c r="F9" i="5" s="1"/>
  <c r="E9" i="5" a="1"/>
  <c r="E9" i="5" s="1"/>
  <c r="I8" i="5" a="1"/>
  <c r="I8" i="5" s="1"/>
  <c r="H8" i="5" a="1"/>
  <c r="H8" i="5" s="1"/>
  <c r="G8" i="5" a="1"/>
  <c r="G8" i="5" s="1"/>
  <c r="F8" i="5" a="1"/>
  <c r="F8" i="5" s="1"/>
  <c r="E8" i="5" a="1"/>
  <c r="E8" i="5" s="1"/>
  <c r="I7" i="5" a="1"/>
  <c r="I7" i="5" s="1"/>
  <c r="H7" i="5" a="1"/>
  <c r="H7" i="5" s="1"/>
  <c r="G7" i="5" a="1"/>
  <c r="G7" i="5" s="1"/>
  <c r="F7" i="5" a="1"/>
  <c r="F7" i="5" s="1"/>
  <c r="E7" i="5" a="1"/>
  <c r="E7" i="5" s="1"/>
  <c r="J11" i="5" l="1"/>
  <c r="J39" i="5"/>
  <c r="J22" i="5"/>
  <c r="J28" i="5"/>
  <c r="J14" i="5"/>
  <c r="J8" i="5"/>
  <c r="J20" i="5"/>
  <c r="J9" i="5"/>
  <c r="J23" i="5"/>
  <c r="I15" i="5"/>
  <c r="J29" i="5"/>
  <c r="J45" i="5"/>
  <c r="J53" i="5"/>
  <c r="J46" i="5"/>
  <c r="F48" i="5"/>
  <c r="G48" i="5"/>
  <c r="G24" i="5"/>
  <c r="J43" i="5"/>
  <c r="E48" i="5"/>
  <c r="J18" i="5"/>
  <c r="E24" i="5"/>
  <c r="F24" i="5"/>
  <c r="J35" i="5"/>
  <c r="E40" i="5"/>
  <c r="F40" i="5"/>
  <c r="H24" i="5"/>
  <c r="E32" i="5"/>
  <c r="J27" i="5"/>
  <c r="J32" i="5" s="1"/>
  <c r="G40" i="5"/>
  <c r="H48" i="5"/>
  <c r="E15" i="5"/>
  <c r="J10" i="5"/>
  <c r="I24" i="5"/>
  <c r="J38" i="5"/>
  <c r="F15" i="5"/>
  <c r="J13" i="5"/>
  <c r="F32" i="5"/>
  <c r="J30" i="5"/>
  <c r="H40" i="5"/>
  <c r="I48" i="5"/>
  <c r="G15" i="5"/>
  <c r="G32" i="5"/>
  <c r="I40" i="5"/>
  <c r="J44" i="5"/>
  <c r="H15" i="5"/>
  <c r="J19" i="5"/>
  <c r="H32" i="5"/>
  <c r="J36" i="5"/>
  <c r="J7" i="5"/>
  <c r="J40" i="5" l="1"/>
  <c r="J24" i="5"/>
  <c r="G50" i="5"/>
  <c r="G51" i="5" s="1"/>
  <c r="G54" i="5" s="1"/>
  <c r="G56" i="5" s="1"/>
  <c r="I50" i="5"/>
  <c r="I51" i="5" s="1"/>
  <c r="E50" i="5"/>
  <c r="E64" i="5"/>
  <c r="E63" i="5"/>
  <c r="E51" i="5"/>
  <c r="F50" i="5"/>
  <c r="F51" i="5" s="1"/>
  <c r="F54" i="5" s="1"/>
  <c r="F56" i="5" s="1"/>
  <c r="J48" i="5"/>
  <c r="J15" i="5"/>
  <c r="H50" i="5"/>
  <c r="H51" i="5" s="1"/>
  <c r="H54" i="5" s="1"/>
  <c r="H56" i="5" s="1"/>
  <c r="E66" i="5" l="1"/>
  <c r="I54" i="5"/>
  <c r="I56" i="5" s="1"/>
  <c r="J51" i="5"/>
  <c r="E54" i="5"/>
  <c r="J50" i="5"/>
  <c r="E68" i="5"/>
  <c r="K15" i="5"/>
  <c r="E56" i="5" l="1"/>
  <c r="J56" i="5" s="1"/>
  <c r="E61" i="5" s="1"/>
  <c r="J54" i="5"/>
  <c r="E60" i="5" s="1"/>
  <c r="E67" i="5"/>
  <c r="E65" i="5"/>
  <c r="E62" i="5"/>
  <c r="E59" i="5"/>
  <c r="E70" i="5"/>
  <c r="K24" i="5"/>
  <c r="E69" i="5"/>
  <c r="K32" i="5"/>
  <c r="K40" i="5"/>
  <c r="K48" i="5"/>
  <c r="E7" i="4" l="1" a="1"/>
  <c r="E7" i="4" s="1"/>
  <c r="F7" i="4" a="1"/>
  <c r="F7" i="4" s="1"/>
  <c r="G7" i="4" a="1"/>
  <c r="G7" i="4" s="1"/>
  <c r="H7" i="4" a="1"/>
  <c r="H7" i="4" s="1"/>
  <c r="I7" i="4" a="1"/>
  <c r="I7" i="4" s="1"/>
  <c r="E8" i="4" a="1"/>
  <c r="E8" i="4" s="1"/>
  <c r="F8" i="4" a="1"/>
  <c r="F8" i="4" s="1"/>
  <c r="G8" i="4" a="1"/>
  <c r="G8" i="4"/>
  <c r="H8" i="4" a="1"/>
  <c r="H8" i="4" s="1"/>
  <c r="I8" i="4" a="1"/>
  <c r="I8" i="4" s="1"/>
  <c r="E9" i="4" a="1"/>
  <c r="E9" i="4" s="1"/>
  <c r="F9" i="4" a="1"/>
  <c r="F9" i="4" s="1"/>
  <c r="G9" i="4" a="1"/>
  <c r="G9" i="4" s="1"/>
  <c r="H9" i="4" a="1"/>
  <c r="H9" i="4" s="1"/>
  <c r="I9" i="4" a="1"/>
  <c r="I9" i="4" s="1"/>
  <c r="E10" i="4" a="1"/>
  <c r="E10" i="4" s="1"/>
  <c r="F10" i="4" a="1"/>
  <c r="F10" i="4" s="1"/>
  <c r="G10" i="4" a="1"/>
  <c r="G10" i="4" s="1"/>
  <c r="H10" i="4" a="1"/>
  <c r="H10" i="4" s="1"/>
  <c r="I10" i="4" a="1"/>
  <c r="I10" i="4" s="1"/>
  <c r="E11" i="4" a="1"/>
  <c r="E11" i="4"/>
  <c r="F11" i="4" a="1"/>
  <c r="F11" i="4" s="1"/>
  <c r="G11" i="4" a="1"/>
  <c r="G11" i="4" s="1"/>
  <c r="H11" i="4" a="1"/>
  <c r="H11" i="4"/>
  <c r="I11" i="4" a="1"/>
  <c r="I11" i="4"/>
  <c r="E12" i="4" a="1"/>
  <c r="E12" i="4" s="1"/>
  <c r="F12" i="4" a="1"/>
  <c r="F12" i="4" s="1"/>
  <c r="G12" i="4" a="1"/>
  <c r="G12" i="4" s="1"/>
  <c r="H12" i="4" a="1"/>
  <c r="H12" i="4" s="1"/>
  <c r="I12" i="4" a="1"/>
  <c r="I12" i="4"/>
  <c r="E13" i="4" a="1"/>
  <c r="E13" i="4"/>
  <c r="F13" i="4" a="1"/>
  <c r="F13" i="4" s="1"/>
  <c r="G13" i="4" a="1"/>
  <c r="G13" i="4"/>
  <c r="H13" i="4" a="1"/>
  <c r="H13" i="4" s="1"/>
  <c r="I13" i="4" a="1"/>
  <c r="I13" i="4" s="1"/>
  <c r="E14" i="4" a="1"/>
  <c r="E14" i="4" s="1"/>
  <c r="J14" i="4" s="1"/>
  <c r="F14" i="4" a="1"/>
  <c r="F14" i="4" s="1"/>
  <c r="G14" i="4" a="1"/>
  <c r="G14" i="4" s="1"/>
  <c r="H14" i="4" a="1"/>
  <c r="H14" i="4" s="1"/>
  <c r="I14" i="4" a="1"/>
  <c r="I14" i="4" s="1"/>
  <c r="E18" i="4" a="1"/>
  <c r="E18" i="4" s="1"/>
  <c r="F18" i="4" a="1"/>
  <c r="F18" i="4" s="1"/>
  <c r="G18" i="4" a="1"/>
  <c r="G18" i="4" s="1"/>
  <c r="H18" i="4" a="1"/>
  <c r="H18" i="4" s="1"/>
  <c r="I18" i="4" a="1"/>
  <c r="I18" i="4" s="1"/>
  <c r="E19" i="4" a="1"/>
  <c r="E19" i="4" s="1"/>
  <c r="F19" i="4" a="1"/>
  <c r="F19" i="4" s="1"/>
  <c r="G19" i="4" a="1"/>
  <c r="G19" i="4" s="1"/>
  <c r="H19" i="4" a="1"/>
  <c r="H19" i="4"/>
  <c r="I19" i="4" a="1"/>
  <c r="I19" i="4" s="1"/>
  <c r="E20" i="4" a="1"/>
  <c r="E20" i="4" s="1"/>
  <c r="F20" i="4" a="1"/>
  <c r="F20" i="4" s="1"/>
  <c r="G20" i="4" a="1"/>
  <c r="G20" i="4" s="1"/>
  <c r="H20" i="4" a="1"/>
  <c r="H20" i="4"/>
  <c r="I20" i="4" a="1"/>
  <c r="I20" i="4" s="1"/>
  <c r="E21" i="4" a="1"/>
  <c r="E21" i="4" s="1"/>
  <c r="J21" i="4" s="1"/>
  <c r="F21" i="4" a="1"/>
  <c r="F21" i="4" s="1"/>
  <c r="G21" i="4" a="1"/>
  <c r="G21" i="4" s="1"/>
  <c r="H21" i="4" a="1"/>
  <c r="H21" i="4" s="1"/>
  <c r="I21" i="4" a="1"/>
  <c r="I21" i="4"/>
  <c r="E22" i="4" a="1"/>
  <c r="E22" i="4" s="1"/>
  <c r="F22" i="4" a="1"/>
  <c r="F22" i="4" s="1"/>
  <c r="G22" i="4" a="1"/>
  <c r="G22" i="4" s="1"/>
  <c r="H22" i="4" a="1"/>
  <c r="H22" i="4" s="1"/>
  <c r="I22" i="4" a="1"/>
  <c r="I22" i="4" s="1"/>
  <c r="E23" i="4" a="1"/>
  <c r="E23" i="4"/>
  <c r="F23" i="4" a="1"/>
  <c r="F23" i="4"/>
  <c r="G23" i="4" a="1"/>
  <c r="G23" i="4" s="1"/>
  <c r="H23" i="4" a="1"/>
  <c r="H23" i="4"/>
  <c r="I23" i="4" a="1"/>
  <c r="I23" i="4" s="1"/>
  <c r="E27" i="4" a="1"/>
  <c r="E27" i="4" s="1"/>
  <c r="F27" i="4" a="1"/>
  <c r="F27" i="4" s="1"/>
  <c r="G27" i="4" a="1"/>
  <c r="G27" i="4"/>
  <c r="H27" i="4" a="1"/>
  <c r="H27" i="4" s="1"/>
  <c r="I27" i="4" a="1"/>
  <c r="I27" i="4" s="1"/>
  <c r="E28" i="4" a="1"/>
  <c r="E28" i="4" s="1"/>
  <c r="F28" i="4" a="1"/>
  <c r="F28" i="4" s="1"/>
  <c r="G28" i="4" a="1"/>
  <c r="G28" i="4" s="1"/>
  <c r="H28" i="4" a="1"/>
  <c r="H28" i="4" s="1"/>
  <c r="I28" i="4" a="1"/>
  <c r="I28" i="4" s="1"/>
  <c r="E29" i="4" a="1"/>
  <c r="E29" i="4" s="1"/>
  <c r="F29" i="4" a="1"/>
  <c r="F29" i="4" s="1"/>
  <c r="G29" i="4" a="1"/>
  <c r="G29" i="4" s="1"/>
  <c r="H29" i="4" a="1"/>
  <c r="H29" i="4"/>
  <c r="I29" i="4" a="1"/>
  <c r="I29" i="4" s="1"/>
  <c r="E30" i="4" a="1"/>
  <c r="E30" i="4"/>
  <c r="F30" i="4" a="1"/>
  <c r="F30" i="4" s="1"/>
  <c r="G30" i="4" a="1"/>
  <c r="G30" i="4"/>
  <c r="H30" i="4" a="1"/>
  <c r="H30" i="4" s="1"/>
  <c r="I30" i="4" a="1"/>
  <c r="I30" i="4" s="1"/>
  <c r="E31" i="4" a="1"/>
  <c r="E31" i="4" s="1"/>
  <c r="F31" i="4" a="1"/>
  <c r="F31" i="4" s="1"/>
  <c r="G31" i="4" a="1"/>
  <c r="G31" i="4"/>
  <c r="H31" i="4" a="1"/>
  <c r="H31" i="4" s="1"/>
  <c r="I31" i="4" a="1"/>
  <c r="I31" i="4"/>
  <c r="E35" i="4" a="1"/>
  <c r="E35" i="4" s="1"/>
  <c r="F35" i="4" a="1"/>
  <c r="F35" i="4" s="1"/>
  <c r="G35" i="4" a="1"/>
  <c r="G35" i="4" s="1"/>
  <c r="H35" i="4" a="1"/>
  <c r="H35" i="4" s="1"/>
  <c r="I35" i="4" a="1"/>
  <c r="I35" i="4" s="1"/>
  <c r="E36" i="4" a="1"/>
  <c r="E36" i="4" s="1"/>
  <c r="F36" i="4" a="1"/>
  <c r="F36" i="4" s="1"/>
  <c r="G36" i="4" a="1"/>
  <c r="G36" i="4" s="1"/>
  <c r="H36" i="4" a="1"/>
  <c r="H36" i="4" s="1"/>
  <c r="I36" i="4" a="1"/>
  <c r="I36" i="4" s="1"/>
  <c r="E37" i="4" a="1"/>
  <c r="E37" i="4" s="1"/>
  <c r="F37" i="4" a="1"/>
  <c r="F37" i="4" s="1"/>
  <c r="G37" i="4" a="1"/>
  <c r="G37" i="4" s="1"/>
  <c r="H37" i="4" a="1"/>
  <c r="H37" i="4"/>
  <c r="I37" i="4" a="1"/>
  <c r="I37" i="4"/>
  <c r="E38" i="4" a="1"/>
  <c r="E38" i="4" s="1"/>
  <c r="F38" i="4" a="1"/>
  <c r="F38" i="4" s="1"/>
  <c r="G38" i="4" a="1"/>
  <c r="G38" i="4" s="1"/>
  <c r="H38" i="4" a="1"/>
  <c r="H38" i="4" s="1"/>
  <c r="I38" i="4" a="1"/>
  <c r="I38" i="4" s="1"/>
  <c r="E39" i="4" a="1"/>
  <c r="E39" i="4"/>
  <c r="F39" i="4" a="1"/>
  <c r="F39" i="4"/>
  <c r="G39" i="4" a="1"/>
  <c r="G39" i="4"/>
  <c r="H39" i="4" a="1"/>
  <c r="H39" i="4" s="1"/>
  <c r="I39" i="4" a="1"/>
  <c r="I39" i="4" s="1"/>
  <c r="E43" i="4" a="1"/>
  <c r="E43" i="4" s="1"/>
  <c r="F43" i="4" a="1"/>
  <c r="F43" i="4" s="1"/>
  <c r="G43" i="4" a="1"/>
  <c r="G43" i="4" s="1"/>
  <c r="H43" i="4" a="1"/>
  <c r="H43" i="4" s="1"/>
  <c r="I43" i="4" a="1"/>
  <c r="I43" i="4"/>
  <c r="E44" i="4" a="1"/>
  <c r="E44" i="4" s="1"/>
  <c r="F44" i="4" a="1"/>
  <c r="F44" i="4" s="1"/>
  <c r="G44" i="4" a="1"/>
  <c r="G44" i="4" s="1"/>
  <c r="H44" i="4" a="1"/>
  <c r="H44" i="4" s="1"/>
  <c r="I44" i="4" a="1"/>
  <c r="I44" i="4" s="1"/>
  <c r="E45" i="4" a="1"/>
  <c r="E45" i="4" s="1"/>
  <c r="F45" i="4" a="1"/>
  <c r="F45" i="4" s="1"/>
  <c r="G45" i="4" a="1"/>
  <c r="G45" i="4" s="1"/>
  <c r="H45" i="4" a="1"/>
  <c r="H45" i="4"/>
  <c r="I45" i="4" a="1"/>
  <c r="I45" i="4" s="1"/>
  <c r="E46" i="4" a="1"/>
  <c r="E46" i="4" s="1"/>
  <c r="F46" i="4" a="1"/>
  <c r="F46" i="4"/>
  <c r="G46" i="4" a="1"/>
  <c r="G46" i="4" s="1"/>
  <c r="H46" i="4" a="1"/>
  <c r="H46" i="4" s="1"/>
  <c r="I46" i="4" a="1"/>
  <c r="I46" i="4" s="1"/>
  <c r="E47" i="4" a="1"/>
  <c r="E47" i="4" s="1"/>
  <c r="F47" i="4" a="1"/>
  <c r="F47" i="4" s="1"/>
  <c r="G47" i="4" a="1"/>
  <c r="G47" i="4"/>
  <c r="H47" i="4" a="1"/>
  <c r="H47" i="4"/>
  <c r="I47" i="4" a="1"/>
  <c r="I47" i="4"/>
  <c r="E53" i="4"/>
  <c r="F53" i="4"/>
  <c r="G53" i="4"/>
  <c r="H53" i="4"/>
  <c r="I53" i="4"/>
  <c r="E55" i="4"/>
  <c r="F55" i="4"/>
  <c r="G55" i="4"/>
  <c r="H55" i="4"/>
  <c r="I55" i="4"/>
  <c r="J47" i="4" l="1"/>
  <c r="H40" i="4"/>
  <c r="J53" i="4"/>
  <c r="J13" i="4"/>
  <c r="F48" i="4"/>
  <c r="G48" i="4"/>
  <c r="H24" i="4"/>
  <c r="J46" i="4"/>
  <c r="J12" i="4"/>
  <c r="G40" i="4"/>
  <c r="I48" i="4"/>
  <c r="J39" i="4"/>
  <c r="I40" i="4"/>
  <c r="J20" i="4"/>
  <c r="J31" i="4"/>
  <c r="J29" i="4"/>
  <c r="J9" i="4"/>
  <c r="J35" i="4"/>
  <c r="J30" i="4"/>
  <c r="J28" i="4"/>
  <c r="I24" i="4"/>
  <c r="I15" i="4"/>
  <c r="J37" i="4"/>
  <c r="J19" i="4"/>
  <c r="J11" i="4"/>
  <c r="G32" i="4"/>
  <c r="F24" i="4"/>
  <c r="J8" i="4"/>
  <c r="E48" i="4"/>
  <c r="J22" i="4"/>
  <c r="E24" i="4"/>
  <c r="J18" i="4"/>
  <c r="J24" i="4" s="1"/>
  <c r="F40" i="4"/>
  <c r="F32" i="4"/>
  <c r="H15" i="4"/>
  <c r="J44" i="4"/>
  <c r="J23" i="4"/>
  <c r="H48" i="4"/>
  <c r="J43" i="4"/>
  <c r="I32" i="4"/>
  <c r="H32" i="4"/>
  <c r="G24" i="4"/>
  <c r="J45" i="4"/>
  <c r="J38" i="4"/>
  <c r="E40" i="4"/>
  <c r="J36" i="4"/>
  <c r="J27" i="4"/>
  <c r="J32" i="4" s="1"/>
  <c r="G15" i="4"/>
  <c r="F15" i="4"/>
  <c r="J10" i="4"/>
  <c r="E15" i="4"/>
  <c r="J7" i="4"/>
  <c r="E32" i="4"/>
  <c r="G50" i="4" l="1"/>
  <c r="G51" i="4" s="1"/>
  <c r="G54" i="4" s="1"/>
  <c r="G56" i="4" s="1"/>
  <c r="I50" i="4"/>
  <c r="I51" i="4" s="1"/>
  <c r="J40" i="4"/>
  <c r="J48" i="4"/>
  <c r="J15" i="4"/>
  <c r="E64" i="4"/>
  <c r="E50" i="4"/>
  <c r="E63" i="4"/>
  <c r="H50" i="4"/>
  <c r="H51" i="4" s="1"/>
  <c r="H54" i="4" s="1"/>
  <c r="H56" i="4" s="1"/>
  <c r="F50" i="4"/>
  <c r="F51" i="4" s="1"/>
  <c r="F54" i="4" s="1"/>
  <c r="F56" i="4" s="1"/>
  <c r="E66" i="4" l="1"/>
  <c r="I54" i="4"/>
  <c r="I56" i="4" s="1"/>
  <c r="J50" i="4"/>
  <c r="E51" i="4"/>
  <c r="E54" i="4" l="1"/>
  <c r="J51" i="4"/>
  <c r="E65" i="4" l="1"/>
  <c r="E62" i="4"/>
  <c r="E59" i="4"/>
  <c r="E67" i="4"/>
  <c r="K24" i="4"/>
  <c r="E69" i="4"/>
  <c r="K32" i="4"/>
  <c r="K48" i="4"/>
  <c r="E70" i="4"/>
  <c r="K40" i="4"/>
  <c r="E68" i="4"/>
  <c r="K15" i="4"/>
  <c r="J54" i="4"/>
  <c r="E60" i="4" s="1"/>
  <c r="E56" i="4"/>
  <c r="J56" i="4" s="1"/>
  <c r="E61" i="4" s="1"/>
  <c r="I55" i="3"/>
  <c r="H55" i="3"/>
  <c r="G55" i="3"/>
  <c r="F55" i="3"/>
  <c r="E55" i="3"/>
  <c r="I53" i="3"/>
  <c r="H53" i="3"/>
  <c r="J53" i="3" s="1"/>
  <c r="G53" i="3"/>
  <c r="F53" i="3"/>
  <c r="E53" i="3"/>
  <c r="I47" i="3" a="1"/>
  <c r="I47" i="3" s="1"/>
  <c r="H47" i="3" a="1"/>
  <c r="H47" i="3" s="1"/>
  <c r="G47" i="3" a="1"/>
  <c r="G47" i="3" s="1"/>
  <c r="F47" i="3" a="1"/>
  <c r="F47" i="3" s="1"/>
  <c r="E47" i="3" a="1"/>
  <c r="E47" i="3" s="1"/>
  <c r="J47" i="3" s="1"/>
  <c r="E46" i="3" a="1"/>
  <c r="E46" i="3" s="1"/>
  <c r="I45" i="3" a="1"/>
  <c r="I45" i="3" s="1"/>
  <c r="H45" i="3" a="1"/>
  <c r="H45" i="3" s="1"/>
  <c r="G45" i="3" a="1"/>
  <c r="G45" i="3" s="1"/>
  <c r="F45" i="3" a="1"/>
  <c r="F45" i="3"/>
  <c r="E45" i="3" a="1"/>
  <c r="E45" i="3" s="1"/>
  <c r="J45" i="3" s="1"/>
  <c r="E44" i="3" a="1"/>
  <c r="E44" i="3"/>
  <c r="I43" i="3" a="1"/>
  <c r="I43" i="3"/>
  <c r="H43" i="3" a="1"/>
  <c r="H43" i="3" s="1"/>
  <c r="G43" i="3" a="1"/>
  <c r="G43" i="3"/>
  <c r="F43" i="3" a="1"/>
  <c r="F43" i="3" s="1"/>
  <c r="E43" i="3" a="1"/>
  <c r="E43" i="3"/>
  <c r="J43" i="3" s="1"/>
  <c r="I39" i="3" a="1"/>
  <c r="I39" i="3" s="1"/>
  <c r="H39" i="3" a="1"/>
  <c r="H39" i="3" s="1"/>
  <c r="G39" i="3" a="1"/>
  <c r="G39" i="3" s="1"/>
  <c r="F39" i="3" a="1"/>
  <c r="F39" i="3"/>
  <c r="E39" i="3" a="1"/>
  <c r="E39" i="3" s="1"/>
  <c r="J39" i="3" s="1"/>
  <c r="E38" i="3" a="1"/>
  <c r="E38" i="3"/>
  <c r="E37" i="3" a="1"/>
  <c r="E37" i="3" s="1"/>
  <c r="E36" i="3" a="1"/>
  <c r="E36" i="3" s="1"/>
  <c r="E35" i="3" a="1"/>
  <c r="E35" i="3" s="1"/>
  <c r="I31" i="3" a="1"/>
  <c r="I31" i="3" s="1"/>
  <c r="H31" i="3" a="1"/>
  <c r="H31" i="3" s="1"/>
  <c r="G31" i="3" a="1"/>
  <c r="G31" i="3" s="1"/>
  <c r="F31" i="3" a="1"/>
  <c r="F31" i="3" s="1"/>
  <c r="E31" i="3" a="1"/>
  <c r="E31" i="3"/>
  <c r="I30" i="3" a="1"/>
  <c r="I30" i="3" s="1"/>
  <c r="H30" i="3" a="1"/>
  <c r="H30" i="3" s="1"/>
  <c r="I29" i="3" a="1"/>
  <c r="I29" i="3" s="1"/>
  <c r="H29" i="3" a="1"/>
  <c r="H29" i="3"/>
  <c r="G29" i="3" a="1"/>
  <c r="G29" i="3"/>
  <c r="F29" i="3" a="1"/>
  <c r="F29" i="3" s="1"/>
  <c r="E28" i="3" a="1"/>
  <c r="E28" i="3"/>
  <c r="I23" i="3" a="1"/>
  <c r="I23" i="3" s="1"/>
  <c r="H23" i="3" a="1"/>
  <c r="H23" i="3" s="1"/>
  <c r="G23" i="3" a="1"/>
  <c r="G23" i="3" s="1"/>
  <c r="F23" i="3" a="1"/>
  <c r="F23" i="3" s="1"/>
  <c r="E23" i="3" a="1"/>
  <c r="E23" i="3" s="1"/>
  <c r="J23" i="3" s="1"/>
  <c r="E22" i="3" a="1"/>
  <c r="E22" i="3"/>
  <c r="F21" i="3" a="1"/>
  <c r="F21" i="3"/>
  <c r="E21" i="3" a="1"/>
  <c r="E21" i="3" s="1"/>
  <c r="F19" i="3" a="1"/>
  <c r="F19" i="3" s="1"/>
  <c r="E19" i="3" a="1"/>
  <c r="E19" i="3" s="1"/>
  <c r="I14" i="3" a="1"/>
  <c r="I14" i="3"/>
  <c r="H14" i="3" a="1"/>
  <c r="H14" i="3"/>
  <c r="G14" i="3" a="1"/>
  <c r="G14" i="3"/>
  <c r="F14" i="3" a="1"/>
  <c r="F14" i="3" s="1"/>
  <c r="E14" i="3" a="1"/>
  <c r="E14" i="3"/>
  <c r="J14" i="3" s="1"/>
  <c r="F13" i="3" a="1"/>
  <c r="F13" i="3" s="1"/>
  <c r="E13" i="3" a="1"/>
  <c r="E13" i="3" s="1"/>
  <c r="I12" i="3" a="1"/>
  <c r="I12" i="3" s="1"/>
  <c r="H11" i="3" a="1"/>
  <c r="H11" i="3" s="1"/>
  <c r="G11" i="3" a="1"/>
  <c r="G11" i="3" s="1"/>
  <c r="H9" i="3" a="1"/>
  <c r="H9" i="3" s="1"/>
  <c r="I8" i="3" a="1"/>
  <c r="I8" i="3" s="1"/>
  <c r="H8" i="3" a="1"/>
  <c r="H8" i="3" s="1"/>
  <c r="E7" i="3" a="1"/>
  <c r="E7" i="3" s="1"/>
  <c r="E30" i="2"/>
  <c r="G27" i="3" s="1" a="1"/>
  <c r="G27" i="3" s="1"/>
  <c r="G29" i="2"/>
  <c r="I28" i="3" s="1" a="1"/>
  <c r="I28" i="3" s="1"/>
  <c r="F29" i="2"/>
  <c r="H28" i="3" s="1" a="1"/>
  <c r="H28" i="3" s="1"/>
  <c r="E29" i="2"/>
  <c r="G30" i="3" s="1" a="1"/>
  <c r="G30" i="3" s="1"/>
  <c r="D29" i="2"/>
  <c r="F30" i="3" s="1" a="1"/>
  <c r="F30" i="3" s="1"/>
  <c r="C29" i="2"/>
  <c r="E29" i="3" s="1" a="1"/>
  <c r="E29" i="3" s="1"/>
  <c r="G28" i="2"/>
  <c r="I9" i="3" s="1" a="1"/>
  <c r="I9" i="3" s="1"/>
  <c r="F28" i="2"/>
  <c r="H12" i="3" s="1" a="1"/>
  <c r="H12" i="3" s="1"/>
  <c r="E28" i="2"/>
  <c r="G8" i="3" s="1" a="1"/>
  <c r="G8" i="3" s="1"/>
  <c r="D28" i="2"/>
  <c r="F11" i="3" s="1" a="1"/>
  <c r="F11" i="3" s="1"/>
  <c r="C28" i="2"/>
  <c r="E18" i="3" s="1" a="1"/>
  <c r="E18" i="3" s="1"/>
  <c r="D27" i="2"/>
  <c r="F37" i="3" s="1" a="1"/>
  <c r="F37" i="3" s="1"/>
  <c r="D26" i="2"/>
  <c r="F22" i="3" s="1" a="1"/>
  <c r="F22" i="3" s="1"/>
  <c r="G10" i="2"/>
  <c r="F10" i="2"/>
  <c r="E10" i="2"/>
  <c r="D10" i="2"/>
  <c r="D30" i="2" s="1"/>
  <c r="F27" i="3" s="1" a="1"/>
  <c r="F27" i="3" s="1"/>
  <c r="C10" i="2"/>
  <c r="G30" i="2" s="1"/>
  <c r="I27" i="3" s="1" a="1"/>
  <c r="I27" i="3" s="1"/>
  <c r="I32" i="3" s="1"/>
  <c r="G32" i="3" l="1"/>
  <c r="E40" i="3"/>
  <c r="J29" i="3"/>
  <c r="F48" i="3"/>
  <c r="E24" i="3"/>
  <c r="J31" i="3"/>
  <c r="F44" i="3" a="1"/>
  <c r="F44" i="3" s="1"/>
  <c r="F36" i="3" a="1"/>
  <c r="F36" i="3" s="1"/>
  <c r="G10" i="3" a="1"/>
  <c r="G10" i="3" s="1"/>
  <c r="H18" i="3" a="1"/>
  <c r="H18" i="3" s="1"/>
  <c r="E20" i="3" a="1"/>
  <c r="E20" i="3" s="1"/>
  <c r="F28" i="3" a="1"/>
  <c r="F28" i="3" s="1"/>
  <c r="J28" i="3" s="1"/>
  <c r="F7" i="3" a="1"/>
  <c r="F7" i="3" s="1"/>
  <c r="H10" i="3" a="1"/>
  <c r="H10" i="3" s="1"/>
  <c r="E12" i="3" a="1"/>
  <c r="E12" i="3" s="1"/>
  <c r="I18" i="3" a="1"/>
  <c r="I18" i="3" s="1"/>
  <c r="F20" i="3" a="1"/>
  <c r="F20" i="3" s="1"/>
  <c r="G28" i="3" a="1"/>
  <c r="G28" i="3" s="1"/>
  <c r="F46" i="3" a="1"/>
  <c r="F46" i="3" s="1"/>
  <c r="E9" i="3" a="1"/>
  <c r="E9" i="3" s="1"/>
  <c r="F9" i="3" a="1"/>
  <c r="F9" i="3" s="1"/>
  <c r="F35" i="3" a="1"/>
  <c r="F35" i="3" s="1"/>
  <c r="E10" i="3" a="1"/>
  <c r="E10" i="3" s="1"/>
  <c r="G18" i="3" a="1"/>
  <c r="G18" i="3" s="1"/>
  <c r="G7" i="3" a="1"/>
  <c r="G7" i="3" s="1"/>
  <c r="I11" i="3" a="1"/>
  <c r="I11" i="3" s="1"/>
  <c r="H7" i="3" a="1"/>
  <c r="H7" i="3" s="1"/>
  <c r="I7" i="3" a="1"/>
  <c r="I7" i="3" s="1"/>
  <c r="E26" i="2"/>
  <c r="I10" i="3" a="1"/>
  <c r="I10" i="3" s="1"/>
  <c r="F12" i="3" a="1"/>
  <c r="F12" i="3" s="1"/>
  <c r="G20" i="3" a="1"/>
  <c r="G20" i="3" s="1"/>
  <c r="E30" i="3" a="1"/>
  <c r="E30" i="3" s="1"/>
  <c r="J30" i="3" s="1"/>
  <c r="F38" i="3" a="1"/>
  <c r="F38" i="3" s="1"/>
  <c r="E48" i="3"/>
  <c r="F18" i="3" a="1"/>
  <c r="F18" i="3" s="1"/>
  <c r="F24" i="3" s="1"/>
  <c r="F10" i="3" a="1"/>
  <c r="F10" i="3" s="1"/>
  <c r="C30" i="2"/>
  <c r="E27" i="3" s="1" a="1"/>
  <c r="E27" i="3" s="1"/>
  <c r="G9" i="3" a="1"/>
  <c r="G9" i="3" s="1"/>
  <c r="E8" i="3" a="1"/>
  <c r="E8" i="3" s="1"/>
  <c r="G12" i="3" a="1"/>
  <c r="G12" i="3" s="1"/>
  <c r="H20" i="3" a="1"/>
  <c r="H20" i="3" s="1"/>
  <c r="F30" i="2"/>
  <c r="H27" i="3" s="1" a="1"/>
  <c r="H27" i="3" s="1"/>
  <c r="H32" i="3" s="1"/>
  <c r="I20" i="3" a="1"/>
  <c r="I20" i="3" s="1"/>
  <c r="E27" i="2"/>
  <c r="F8" i="3" a="1"/>
  <c r="F8" i="3" s="1"/>
  <c r="E11" i="3" a="1"/>
  <c r="E11" i="3" s="1"/>
  <c r="F40" i="3" l="1"/>
  <c r="E15" i="3"/>
  <c r="E63" i="3" s="1"/>
  <c r="F15" i="3"/>
  <c r="F50" i="3" s="1"/>
  <c r="F51" i="3" s="1"/>
  <c r="F54" i="3" s="1"/>
  <c r="F56" i="3" s="1"/>
  <c r="E64" i="3"/>
  <c r="F27" i="2"/>
  <c r="G38" i="3" a="1"/>
  <c r="G38" i="3" s="1"/>
  <c r="G35" i="3" a="1"/>
  <c r="G35" i="3" s="1"/>
  <c r="G46" i="3" a="1"/>
  <c r="G46" i="3" s="1"/>
  <c r="G36" i="3" a="1"/>
  <c r="G36" i="3" s="1"/>
  <c r="G37" i="3" a="1"/>
  <c r="G37" i="3" s="1"/>
  <c r="G22" i="3" a="1"/>
  <c r="G22" i="3" s="1"/>
  <c r="G19" i="3" a="1"/>
  <c r="G19" i="3" s="1"/>
  <c r="F26" i="2"/>
  <c r="G13" i="3" a="1"/>
  <c r="G13" i="3" s="1"/>
  <c r="G15" i="3" s="1"/>
  <c r="G21" i="3" a="1"/>
  <c r="G21" i="3" s="1"/>
  <c r="G44" i="3" a="1"/>
  <c r="G44" i="3" s="1"/>
  <c r="J20" i="3"/>
  <c r="F32" i="3"/>
  <c r="J8" i="3"/>
  <c r="E32" i="3"/>
  <c r="J27" i="3"/>
  <c r="J32" i="3" s="1"/>
  <c r="J10" i="3"/>
  <c r="J9" i="3"/>
  <c r="J7" i="3"/>
  <c r="J11" i="3"/>
  <c r="J12" i="3"/>
  <c r="J18" i="3"/>
  <c r="G40" i="3" l="1"/>
  <c r="G27" i="2"/>
  <c r="H35" i="3" a="1"/>
  <c r="H35" i="3" s="1"/>
  <c r="H38" i="3" a="1"/>
  <c r="H38" i="3" s="1"/>
  <c r="H46" i="3" a="1"/>
  <c r="H46" i="3" s="1"/>
  <c r="H36" i="3" a="1"/>
  <c r="H36" i="3" s="1"/>
  <c r="H37" i="3" a="1"/>
  <c r="H37" i="3" s="1"/>
  <c r="G48" i="3"/>
  <c r="E50" i="3"/>
  <c r="G26" i="2"/>
  <c r="H19" i="3" a="1"/>
  <c r="H19" i="3" s="1"/>
  <c r="H13" i="3" a="1"/>
  <c r="H13" i="3" s="1"/>
  <c r="H15" i="3" s="1"/>
  <c r="H21" i="3" a="1"/>
  <c r="H21" i="3" s="1"/>
  <c r="H22" i="3" a="1"/>
  <c r="H22" i="3" s="1"/>
  <c r="H44" i="3" a="1"/>
  <c r="H44" i="3" s="1"/>
  <c r="G24" i="3"/>
  <c r="H48" i="3" l="1"/>
  <c r="H40" i="3"/>
  <c r="H24" i="3"/>
  <c r="I38" i="3" a="1"/>
  <c r="I38" i="3" s="1"/>
  <c r="J38" i="3" s="1"/>
  <c r="I35" i="3" a="1"/>
  <c r="I35" i="3" s="1"/>
  <c r="I46" i="3" a="1"/>
  <c r="I46" i="3" s="1"/>
  <c r="J46" i="3" s="1"/>
  <c r="I36" i="3" a="1"/>
  <c r="I36" i="3" s="1"/>
  <c r="J36" i="3" s="1"/>
  <c r="I37" i="3" a="1"/>
  <c r="I37" i="3" s="1"/>
  <c r="J37" i="3" s="1"/>
  <c r="I13" i="3" a="1"/>
  <c r="I13" i="3" s="1"/>
  <c r="I15" i="3" s="1"/>
  <c r="I21" i="3" a="1"/>
  <c r="I21" i="3" s="1"/>
  <c r="J21" i="3" s="1"/>
  <c r="I22" i="3" a="1"/>
  <c r="I22" i="3" s="1"/>
  <c r="J22" i="3" s="1"/>
  <c r="I44" i="3" a="1"/>
  <c r="I44" i="3" s="1"/>
  <c r="I19" i="3" a="1"/>
  <c r="I19" i="3" s="1"/>
  <c r="G50" i="3"/>
  <c r="G51" i="3" s="1"/>
  <c r="G54" i="3" s="1"/>
  <c r="G56" i="3" s="1"/>
  <c r="J13" i="3"/>
  <c r="J15" i="3" s="1"/>
  <c r="E51" i="3"/>
  <c r="I48" i="3" l="1"/>
  <c r="I40" i="3"/>
  <c r="J35" i="3"/>
  <c r="J40" i="3" s="1"/>
  <c r="J44" i="3"/>
  <c r="J48" i="3" s="1"/>
  <c r="H50" i="3"/>
  <c r="H51" i="3" s="1"/>
  <c r="E54" i="3"/>
  <c r="I24" i="3"/>
  <c r="J19" i="3"/>
  <c r="J24" i="3" s="1"/>
  <c r="I50" i="3"/>
  <c r="I51" i="3" s="1"/>
  <c r="E66" i="3" l="1"/>
  <c r="I54" i="3"/>
  <c r="I56" i="3" s="1"/>
  <c r="H54" i="3"/>
  <c r="H56" i="3" s="1"/>
  <c r="J51" i="3"/>
  <c r="K24" i="3" s="1"/>
  <c r="E70" i="3"/>
  <c r="K40" i="3"/>
  <c r="E56" i="3"/>
  <c r="J56" i="3" s="1"/>
  <c r="E61" i="3" s="1"/>
  <c r="J54" i="3"/>
  <c r="E60" i="3" s="1"/>
  <c r="J50" i="3"/>
  <c r="K48" i="3"/>
  <c r="E67" i="3" l="1"/>
  <c r="E65" i="3"/>
  <c r="E62" i="3"/>
  <c r="E59" i="3"/>
  <c r="E69" i="3"/>
  <c r="K32" i="3"/>
  <c r="K15" i="3"/>
  <c r="E68" i="3"/>
</calcChain>
</file>

<file path=xl/sharedStrings.xml><?xml version="1.0" encoding="utf-8"?>
<sst xmlns="http://schemas.openxmlformats.org/spreadsheetml/2006/main" count="521" uniqueCount="190">
  <si>
    <t>Модель TCO (Total Cost of Ownership) — кейс «Africa Delivery», горизонт 5 лет</t>
  </si>
  <si>
    <t>TCO на 5 лет — Africa Delivery</t>
  </si>
  <si>
    <t>Допущения модели TCO — Africa Delivery</t>
  </si>
  <si>
    <t>Зачем этот файл</t>
  </si>
  <si>
    <t>Заполняются только ячейки с жёлтой заливкой. Все числа ниже — пример, заменить своими.</t>
  </si>
  <si>
    <t>Заполняем колонки «Драйвер роста» и «База, $/год (Год 1)». Годы 1–5 считаются автоматически.</t>
  </si>
  <si>
    <t>Задача</t>
  </si>
  <si>
    <t>Оценить полную стоимость владения выбранным архитектурным вариантом на 5 лет и использовать цифры как аргумент в ADR №1 («Выбор архитектурного стиля»).</t>
  </si>
  <si>
    <t>Как использовать</t>
  </si>
  <si>
    <t>Заполни один и тот же шаблон для каждого рассматриваемого варианта (например: модульный монолит / SOA / микросервисы) — сравнивать нужно итоги, а не ощущения.</t>
  </si>
  <si>
    <t>Цветовая легенда</t>
  </si>
  <si>
    <t>Синий текст на жёлтом фоне</t>
  </si>
  <si>
    <t>Ячейки для заполнения. Только их и редактируем.</t>
  </si>
  <si>
    <t>Чёрный текст</t>
  </si>
  <si>
    <t>Формулы. Не трогаем — пересчитаются сами.</t>
  </si>
  <si>
    <t>1. Драйверы бизнеса — заполнить</t>
  </si>
  <si>
    <t>Зелёный текст</t>
  </si>
  <si>
    <t>Ссылка на лист «Допущения».</t>
  </si>
  <si>
    <t>Порядок работы</t>
  </si>
  <si>
    <t>Шаг 1</t>
  </si>
  <si>
    <t>Лист «Допущения» → блок 1: вбить драйверы бизнеса по годам (активные пользователи, число заказов, средний чек). Из них считается GMV.</t>
  </si>
  <si>
    <t>Шаг 2</t>
  </si>
  <si>
    <t>Лист «Допущения» → блок 2: финансовые допущения (инфляция, рост ФОТ, ставка дисконтирования, резерв, целевой SLO).</t>
  </si>
  <si>
    <t>Шаг 3</t>
  </si>
  <si>
    <t>Лист «TCO» → в колонке «База, $/год (Год 1)» указать затраты первого года по каждой статье. Лишние статьи оставить пустыми, свои — дописать в свободные строки.</t>
  </si>
  <si>
    <t>Шаг 4</t>
  </si>
  <si>
    <t>Лист «TCO» → в колонке «Драйвер роста» выбрать из выпадающего списка, от чего растёт статья: фикс / инфляция / ФОТ / пользователи / заказы / GMV. Годы 2–5 посчитаются сами.</t>
  </si>
  <si>
    <t>Шаг 5</t>
  </si>
  <si>
    <t>Посмотреть блок «Ключевые метрики» внизу листа «TCO»: итог за 5 лет, NPV, стоимость на заказ, проверку бюджета CFO ($9k/мес на облако).</t>
  </si>
  <si>
    <t>Что важно не забыть в этом кейсе</t>
  </si>
  <si>
    <t>Бюджет CFO</t>
  </si>
  <si>
    <t>$9 000/мес на облако на старте. Если Год 1 в блоке «Облачная инфраструктура» не проходит — это архитектурное решение, а не ошибка модели: опиши, что урезаешь.</t>
  </si>
  <si>
    <t>Цена простоя</t>
  </si>
  <si>
    <t>Инвестор оценивает минуту простоя в $12 000. Целевой SLO 99,99% = 52,6 мин/год ≈ $631k. Этот риск считается отдельным блоком — сравни его со стоимостью резервирования.</t>
  </si>
  <si>
    <t>Показатель</t>
  </si>
  <si>
    <t>Транзакционные расходы</t>
  </si>
  <si>
    <t>Комиссии M-Pesa / Flutterwave / Paystack, SMS и WhatsApp растут с GMV и числом заказов и на горизонте 5 лет обычно обгоняют инфраструктуру. Не забудь их — это типичная ошибка.</t>
  </si>
  <si>
    <t>Сравнение вариантов</t>
  </si>
  <si>
    <t>Транзакционные расходы (блок 3) почти одинаковы для любой архитектуры — это pass-through от оборота. Варианты архитектуры сравнивай по блокам 1, 2, 4 и 6.</t>
  </si>
  <si>
    <t>Разовые затраты</t>
  </si>
  <si>
    <t>Комплаенс-аудит NDPR/POPIA, пентест, миграция — если статья возникает не каждый год, просто перезапиши формулу в нужной ячейке года числом (и покрась в синий).</t>
  </si>
  <si>
    <t>Статья затрат</t>
  </si>
  <si>
    <t>Год 1</t>
  </si>
  <si>
    <t>Люди</t>
  </si>
  <si>
    <t>Год 2</t>
  </si>
  <si>
    <t>ФОТ команды — обычно самая крупная статья TCO. Микросервисы дешевле в масштабировании, но дороже в эксплуатации: это должно быть видно в цифрах, а не только в тексте ADR.</t>
  </si>
  <si>
    <t>Год 3</t>
  </si>
  <si>
    <t>Год 4</t>
  </si>
  <si>
    <t>Год 5</t>
  </si>
  <si>
    <t>Драйвер роста</t>
  </si>
  <si>
    <t>Комментарий / источник</t>
  </si>
  <si>
    <t>Все числа в файле — примеры для демонстрации формата. Замени их своими оценками и укажи источник в колонке «Комментарий / источник».</t>
  </si>
  <si>
    <t>База, $/год (Год 1)</t>
  </si>
  <si>
    <t>Активные пользователи (на конец года)</t>
  </si>
  <si>
    <t>Цель кейса: 1М+ пользователей к 12 месяцам, 5 стран</t>
  </si>
  <si>
    <t>Число заказов в год</t>
  </si>
  <si>
    <t>MVP: 100 продавцов, 5000 SKU. Оценка студента</t>
  </si>
  <si>
    <t>Средний чек (AOV), $</t>
  </si>
  <si>
    <t>Оценка студента по рынку (Jumia / Takealot)</t>
  </si>
  <si>
    <t>GMV, $ в год (расчёт)</t>
  </si>
  <si>
    <t>Итого 5 лет</t>
  </si>
  <si>
    <t>Доля</t>
  </si>
  <si>
    <t>БЛОК 1. Облачная инфраструктура (OpEx)</t>
  </si>
  <si>
    <t>Compute: ноды / контейнеры / serverless</t>
  </si>
  <si>
    <t>пользователи</t>
  </si>
  <si>
    <t>Расчёт: заказы × средний чек</t>
  </si>
  <si>
    <t>2. Финансовые допущения — заполнить</t>
  </si>
  <si>
    <t>Параметр</t>
  </si>
  <si>
    <t>Значение</t>
  </si>
  <si>
    <t>Инфляция затрат, % в год</t>
  </si>
  <si>
    <t>Применяется к статьям с драйвером «инфляция»</t>
  </si>
  <si>
    <t>Рост ФОТ, % в год</t>
  </si>
  <si>
    <t>Дефицит ИТ-специалистов на рынке — рост выше инфляции</t>
  </si>
  <si>
    <t>Ставка дисконтирования, % в год</t>
  </si>
  <si>
    <t>Для расчёта NPV затрат. Стартап, высокий риск</t>
  </si>
  <si>
    <t>Резерв на непредвиденное (contingency), %</t>
  </si>
  <si>
    <t>Надбавка к прямым затратам</t>
  </si>
  <si>
    <t>Бюджет CFO на облако, $/мес</t>
  </si>
  <si>
    <t>Ограничение из письма CFO</t>
  </si>
  <si>
    <t>Стоимость минуты простоя, $</t>
  </si>
  <si>
    <t>Оценка инвестора из условия кейса</t>
  </si>
  <si>
    <t>Целевой SLO (доступность), %</t>
  </si>
  <si>
    <t>Mission critical: 99,99% = 52,6 мин/год</t>
  </si>
  <si>
    <t>Учитывать стоимость простоя в TCO (1 — да, 0 — нет)</t>
  </si>
  <si>
    <t>Переключатель для сценарного анализа</t>
  </si>
  <si>
    <t>3. Индексы роста — расчёт, не редактировать</t>
  </si>
  <si>
    <t>Драйвер</t>
  </si>
  <si>
    <t>Как считается</t>
  </si>
  <si>
    <t>фикс</t>
  </si>
  <si>
    <t>Затраты не меняются по годам</t>
  </si>
  <si>
    <t>инфляция</t>
  </si>
  <si>
    <t>Год N = Год N-1 × (1 + инфляция)</t>
  </si>
  <si>
    <t>ФОТ</t>
  </si>
  <si>
    <t>Год N = Год N-1 × (1 + рост ФОТ)</t>
  </si>
  <si>
    <t>Пропорционально числу активных пользователей</t>
  </si>
  <si>
    <t>заказы</t>
  </si>
  <si>
    <t>Пропорционально числу заказов</t>
  </si>
  <si>
    <t>GMV</t>
  </si>
  <si>
    <t>Пропорционально обороту</t>
  </si>
  <si>
    <t>Драйвер «пользователи» — упрощение: облачные расходы редко растут строго линейно (есть эффект масштаба и обратный эффект — рост нагрузки на БД). При желании введи свой драйвер отдельной строкой в таблице индексов.</t>
  </si>
  <si>
    <t>AWS af-south-1, оценка по калькулятору</t>
  </si>
  <si>
    <t>Управляемые БД (PostgreSQL, реплики)</t>
  </si>
  <si>
    <t>Managed RDS + read replica</t>
  </si>
  <si>
    <t>Хранилище объектов и резервные копии</t>
  </si>
  <si>
    <t>Фото товаров, 5000 SKU на старте</t>
  </si>
  <si>
    <t>CDN и исходящий трафик</t>
  </si>
  <si>
    <t>70% трафика — мобильный 3G, картинки WebP</t>
  </si>
  <si>
    <t>Очереди / стриминг (Kafka, SQS)</t>
  </si>
  <si>
    <t>Асинхронные заказы и уведомления</t>
  </si>
  <si>
    <t>Резервный регион / DR</t>
  </si>
  <si>
    <t>Зависит от выбранной стратегии RTO/RPO</t>
  </si>
  <si>
    <t>Локальное размещение данных (NDPR, Нигерия)</t>
  </si>
  <si>
    <t>Локальный провайдер или партнёр — см. ADR №3</t>
  </si>
  <si>
    <t>Своя статья</t>
  </si>
  <si>
    <t>Итого по блоку</t>
  </si>
  <si>
    <t>БЛОК 2. Лицензии, SaaS и инструменты</t>
  </si>
  <si>
    <t>Observability (метрики, логи, трейсинг)</t>
  </si>
  <si>
    <t>Объём логов растёт с нагрузкой</t>
  </si>
  <si>
    <t>CI/CD, репозиторий, артефакты</t>
  </si>
  <si>
    <t>GitHub / GitLab, тарифы на команду</t>
  </si>
  <si>
    <t>Безопасность: WAF, секреты, антифрод</t>
  </si>
  <si>
    <t>Мошенничество на ПВЗ — риск из кейса</t>
  </si>
  <si>
    <t>WhatsApp Business API (подписка)</t>
  </si>
  <si>
    <t>Канал для продавцов без личного кабинета</t>
  </si>
  <si>
    <t>Прочее ПО и подписки</t>
  </si>
  <si>
    <t>Таск-трекер, дизайн, аналитика</t>
  </si>
  <si>
    <t>БЛОК 3. Транзакционные расходы (Buy / Partner)</t>
  </si>
  <si>
    <t>Комиссии платёжных провайдеров</t>
  </si>
  <si>
    <t>≈3% от GMV: M-Pesa (Кения), Flutterwave / Paystack (Нигерия)</t>
  </si>
  <si>
    <t>SMS-уведомления</t>
  </si>
  <si>
    <t>≈$0,04 за SMS × заказы</t>
  </si>
  <si>
    <t>WhatsApp-сообщения (за диалог)</t>
  </si>
  <si>
    <t>Тариф Meta за conversation</t>
  </si>
  <si>
    <t>Логистика: интеграции и комиссии партнёров</t>
  </si>
  <si>
    <t>Sendbox (Нигерия), Sendy (Кения)</t>
  </si>
  <si>
    <t>БЛОК 4. Команда (ФОТ)</t>
  </si>
  <si>
    <t>Разработка (FTE × годовая ставка)</t>
  </si>
  <si>
    <t>Например 6 FTE × $60k. Зависит от арх. варианта!</t>
  </si>
  <si>
    <t>DevOps / SRE</t>
  </si>
  <si>
    <t>Микросервисы требуют больше SRE, чем монолит</t>
  </si>
  <si>
    <t>Поддержка и дежурства 24/7</t>
  </si>
  <si>
    <t>Требование mission critical: дежурство ночью</t>
  </si>
  <si>
    <t>Архитектура и менеджмент</t>
  </si>
  <si>
    <t>Solution Architect, CTO-функция, PM</t>
  </si>
  <si>
    <t>БЛОК 5. Разовые затраты и комплаенс</t>
  </si>
  <si>
    <t>Юридический и комплаенс-аудит (NDPR, POPIA, KICA)</t>
  </si>
  <si>
    <t>Разовая статья — обнули лишние годы вручную</t>
  </si>
  <si>
    <t>Пентест и аудит безопасности</t>
  </si>
  <si>
    <t>Ежегодно, если mission critical</t>
  </si>
  <si>
    <t>Миграция данных и интеграции при запуске</t>
  </si>
  <si>
    <t>Разовая статья</t>
  </si>
  <si>
    <t>Обучение команды и найм</t>
  </si>
  <si>
    <t>Дефицит локальных ИТ-специалистов</t>
  </si>
  <si>
    <t>Резерв на непредвиденное (contingency)</t>
  </si>
  <si>
    <t>Расчёт: сумма блоков 1–5 × ставка резерва с листа «Допущения»</t>
  </si>
  <si>
    <t>ИТОГО прямые затраты (TCO без учёта простоев)</t>
  </si>
  <si>
    <t>БЛОК 6. Стоимость недоступности (риск)</t>
  </si>
  <si>
    <t>Ожидаемые потери из-за простоя при целевом SLO</t>
  </si>
  <si>
    <t>Расчёт: (1 − SLO) × 525 600 мин/год × стоимость минуты × переключатель. 525 600 — число минут в году</t>
  </si>
  <si>
    <t>ИТОГО TCO с учётом стоимости простоя</t>
  </si>
  <si>
    <t>Коэффициент дисконтирования</t>
  </si>
  <si>
    <t>Дисконтированный TCO (NPV затрат)</t>
  </si>
  <si>
    <t>Ключевые метрики</t>
  </si>
  <si>
    <t>TCO за 5 лет, прямые затраты</t>
  </si>
  <si>
    <t>Основная цифра для сравнения вариантов в ADR</t>
  </si>
  <si>
    <t>TCO за 5 лет с учётом простоя</t>
  </si>
  <si>
    <t>Показывает цену недоступности для mission critical</t>
  </si>
  <si>
    <t>NPV затрат за 5 лет</t>
  </si>
  <si>
    <t>Затраты, приведённые к сегодняшнему дню</t>
  </si>
  <si>
    <t>Средние затраты в год</t>
  </si>
  <si>
    <t>Ориентир для планирования бюджета</t>
  </si>
  <si>
    <t>Облако, $/мес в Год 1</t>
  </si>
  <si>
    <t>Сравнивается с лимитом CFO</t>
  </si>
  <si>
    <t>Проверка бюджета CFO на Год 1</t>
  </si>
  <si>
    <t>Если превышение — объясни в ADR, чем жертвуешь</t>
  </si>
  <si>
    <t>TCO на 1 заказ за 5 лет</t>
  </si>
  <si>
    <t>Юнит-экономика: сколько ИТ стоит в одном заказе</t>
  </si>
  <si>
    <t>TCO на 1 активного пользователя (Год 5)</t>
  </si>
  <si>
    <t>Проверка масштабируемости модели</t>
  </si>
  <si>
    <t>Затраты ИТ как доля GMV за 5 лет</t>
  </si>
  <si>
    <t>Здоровый маркетплейс — единицы процентов</t>
  </si>
  <si>
    <t>Доля облачной инфраструктуры в TCO</t>
  </si>
  <si>
    <t>Обычно меньше, чем ожидают студенты</t>
  </si>
  <si>
    <t>Доля транзакционных расходов в TCO</t>
  </si>
  <si>
    <t>Растёт быстрее всего вместе с GMV</t>
  </si>
  <si>
    <t>Доля команды (ФОТ) в TCO</t>
  </si>
  <si>
    <t>Как правило, крупнейшая статья</t>
  </si>
  <si>
    <t>Вывод для ADR (заполнить текстом): какой вариант дешевле, за счёт чего, и какие допущения сильнее всего влияют на результат?</t>
  </si>
  <si>
    <t>Например: вариант «модульный монолит» дешевле на 5 лет за счёт меньшего ФОТ и SRE, но при росте выше 3М пользователей разрыв сокращается — точка пересмотра решения (см. ADR №1).</t>
  </si>
  <si>
    <t>Лицензии СУБД Oracle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</si>
</sst>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\$#,##0.00;&quot;($&quot;#,##0.00\);\-"/>
    <numFmt numFmtId="165" formatCode="\$#,##0;&quot;($&quot;#,##0\);\-"/>
    <numFmt numFmtId="166" formatCode="0.0%"/>
    <numFmt numFmtId="167" formatCode="0.000%"/>
    <numFmt numFmtId="168" formatCode="0.000"/>
  </numFmts>
  <fonts count="13" x14ac:knownFonts="1">
    <font>
      <sz val="11"/>
      <color theme="1"/>
      <name val="Calibri"/>
      <scheme val="minor"/>
    </font>
    <font>
      <b/>
      <sz val="14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i/>
      <sz val="9"/>
      <color rgb="FF808080"/>
      <name val="Arial"/>
    </font>
    <font>
      <b/>
      <sz val="11"/>
      <color rgb="FFFFFFFF"/>
      <name val="Arial"/>
    </font>
    <font>
      <b/>
      <sz val="10"/>
      <color rgb="FFC00000"/>
      <name val="Arial"/>
    </font>
    <font>
      <sz val="10"/>
      <color rgb="FF0000FF"/>
      <name val="Arial"/>
    </font>
    <font>
      <sz val="11"/>
      <color theme="1"/>
      <name val="Calibri"/>
      <scheme val="minor"/>
    </font>
    <font>
      <sz val="10"/>
      <color rgb="FF008000"/>
      <name val="Arial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FFFF99"/>
        <bgColor rgb="FFFFFF9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10" fillId="0" borderId="1"/>
  </cellStyleXfs>
  <cellXfs count="9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/>
    <xf numFmtId="0" fontId="5" fillId="2" borderId="1" xfId="0" applyFont="1" applyFill="1" applyBorder="1" applyAlignment="1"/>
    <xf numFmtId="0" fontId="6" fillId="0" borderId="0" xfId="0" applyFont="1" applyAlignment="1"/>
    <xf numFmtId="0" fontId="4" fillId="2" borderId="2" xfId="0" applyFont="1" applyFill="1" applyBorder="1" applyAlignment="1"/>
    <xf numFmtId="0" fontId="5" fillId="2" borderId="2" xfId="0" applyFont="1" applyFill="1" applyBorder="1" applyAlignment="1"/>
    <xf numFmtId="0" fontId="7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3" fontId="9" fillId="4" borderId="2" xfId="0" applyNumberFormat="1" applyFont="1" applyFill="1" applyBorder="1" applyAlignment="1"/>
    <xf numFmtId="0" fontId="6" fillId="0" borderId="0" xfId="0" applyFont="1" applyAlignment="1">
      <alignment vertical="top" wrapText="1"/>
    </xf>
    <xf numFmtId="164" fontId="9" fillId="4" borderId="2" xfId="0" applyNumberFormat="1" applyFont="1" applyFill="1" applyBorder="1" applyAlignment="1"/>
    <xf numFmtId="0" fontId="2" fillId="0" borderId="2" xfId="0" applyFont="1" applyBorder="1" applyAlignment="1"/>
    <xf numFmtId="165" fontId="2" fillId="0" borderId="2" xfId="0" applyNumberFormat="1" applyFont="1" applyBorder="1" applyAlignment="1"/>
    <xf numFmtId="0" fontId="9" fillId="4" borderId="2" xfId="0" applyFont="1" applyFill="1" applyBorder="1" applyAlignment="1"/>
    <xf numFmtId="165" fontId="9" fillId="4" borderId="2" xfId="0" applyNumberFormat="1" applyFont="1" applyFill="1" applyBorder="1" applyAlignment="1"/>
    <xf numFmtId="166" fontId="9" fillId="4" borderId="2" xfId="0" applyNumberFormat="1" applyFont="1" applyFill="1" applyBorder="1" applyAlignment="1"/>
    <xf numFmtId="167" fontId="9" fillId="4" borderId="2" xfId="0" applyNumberFormat="1" applyFont="1" applyFill="1" applyBorder="1" applyAlignment="1"/>
    <xf numFmtId="1" fontId="9" fillId="4" borderId="2" xfId="0" applyNumberFormat="1" applyFont="1" applyFill="1" applyBorder="1" applyAlignment="1"/>
    <xf numFmtId="2" fontId="3" fillId="0" borderId="2" xfId="0" applyNumberFormat="1" applyFont="1" applyBorder="1" applyAlignment="1"/>
    <xf numFmtId="165" fontId="3" fillId="0" borderId="2" xfId="0" applyNumberFormat="1" applyFont="1" applyBorder="1" applyAlignment="1"/>
    <xf numFmtId="0" fontId="5" fillId="0" borderId="2" xfId="0" applyFont="1" applyBorder="1" applyAlignment="1"/>
    <xf numFmtId="0" fontId="6" fillId="0" borderId="2" xfId="0" applyFont="1" applyBorder="1" applyAlignment="1">
      <alignment vertical="top" wrapText="1"/>
    </xf>
    <xf numFmtId="0" fontId="2" fillId="5" borderId="2" xfId="0" applyFont="1" applyFill="1" applyBorder="1" applyAlignment="1"/>
    <xf numFmtId="0" fontId="5" fillId="5" borderId="2" xfId="0" applyFont="1" applyFill="1" applyBorder="1" applyAlignment="1"/>
    <xf numFmtId="165" fontId="2" fillId="5" borderId="2" xfId="0" applyNumberFormat="1" applyFont="1" applyFill="1" applyBorder="1" applyAlignment="1"/>
    <xf numFmtId="166" fontId="2" fillId="5" borderId="2" xfId="0" applyNumberFormat="1" applyFont="1" applyFill="1" applyBorder="1" applyAlignment="1"/>
    <xf numFmtId="0" fontId="10" fillId="0" borderId="0" xfId="0" applyFont="1"/>
    <xf numFmtId="165" fontId="11" fillId="0" borderId="2" xfId="0" applyNumberFormat="1" applyFont="1" applyBorder="1" applyAlignment="1"/>
    <xf numFmtId="168" fontId="11" fillId="0" borderId="2" xfId="0" applyNumberFormat="1" applyFont="1" applyBorder="1" applyAlignment="1"/>
    <xf numFmtId="0" fontId="0" fillId="0" borderId="1" xfId="1" applyFont="1" applyAlignment="1"/>
    <xf numFmtId="0" fontId="6" fillId="0" borderId="1" xfId="1" applyFont="1" applyAlignment="1">
      <alignment vertical="top" wrapText="1"/>
    </xf>
    <xf numFmtId="0" fontId="2" fillId="0" borderId="2" xfId="1" applyFont="1" applyBorder="1" applyAlignment="1"/>
    <xf numFmtId="0" fontId="5" fillId="2" borderId="2" xfId="1" applyFont="1" applyFill="1" applyBorder="1" applyAlignment="1"/>
    <xf numFmtId="0" fontId="4" fillId="2" borderId="2" xfId="1" applyFont="1" applyFill="1" applyBorder="1" applyAlignment="1"/>
    <xf numFmtId="165" fontId="2" fillId="5" borderId="2" xfId="1" applyNumberFormat="1" applyFont="1" applyFill="1" applyBorder="1" applyAlignment="1"/>
    <xf numFmtId="0" fontId="2" fillId="5" borderId="2" xfId="1" applyFont="1" applyFill="1" applyBorder="1" applyAlignment="1"/>
    <xf numFmtId="168" fontId="11" fillId="0" borderId="2" xfId="1" applyNumberFormat="1" applyFont="1" applyBorder="1" applyAlignment="1"/>
    <xf numFmtId="0" fontId="3" fillId="0" borderId="2" xfId="1" applyFont="1" applyBorder="1" applyAlignment="1"/>
    <xf numFmtId="165" fontId="3" fillId="0" borderId="2" xfId="1" applyNumberFormat="1" applyFont="1" applyBorder="1" applyAlignment="1"/>
    <xf numFmtId="165" fontId="11" fillId="0" borderId="2" xfId="1" applyNumberFormat="1" applyFont="1" applyBorder="1" applyAlignment="1"/>
    <xf numFmtId="0" fontId="10" fillId="0" borderId="1" xfId="1" applyFont="1"/>
    <xf numFmtId="0" fontId="6" fillId="0" borderId="1" xfId="1" applyFont="1" applyAlignment="1"/>
    <xf numFmtId="0" fontId="5" fillId="5" borderId="2" xfId="1" applyFont="1" applyFill="1" applyBorder="1" applyAlignment="1"/>
    <xf numFmtId="166" fontId="2" fillId="5" borderId="2" xfId="1" applyNumberFormat="1" applyFont="1" applyFill="1" applyBorder="1" applyAlignment="1"/>
    <xf numFmtId="0" fontId="6" fillId="0" borderId="2" xfId="1" applyFont="1" applyBorder="1" applyAlignment="1">
      <alignment vertical="top" wrapText="1"/>
    </xf>
    <xf numFmtId="0" fontId="5" fillId="0" borderId="2" xfId="1" applyFont="1" applyBorder="1" applyAlignment="1"/>
    <xf numFmtId="165" fontId="9" fillId="4" borderId="2" xfId="1" applyNumberFormat="1" applyFont="1" applyFill="1" applyBorder="1" applyAlignment="1"/>
    <xf numFmtId="0" fontId="9" fillId="4" borderId="2" xfId="1" applyFont="1" applyFill="1" applyBorder="1" applyAlignment="1"/>
    <xf numFmtId="0" fontId="7" fillId="3" borderId="2" xfId="1" applyFont="1" applyFill="1" applyBorder="1" applyAlignment="1">
      <alignment horizontal="center" vertical="center" wrapText="1"/>
    </xf>
    <xf numFmtId="0" fontId="1" fillId="0" borderId="1" xfId="1" applyFont="1" applyAlignment="1"/>
    <xf numFmtId="0" fontId="8" fillId="0" borderId="0" xfId="0" applyFont="1" applyAlignment="1">
      <alignment vertical="top" wrapText="1"/>
    </xf>
    <xf numFmtId="0" fontId="0" fillId="0" borderId="0" xfId="0" applyFont="1" applyAlignment="1"/>
    <xf numFmtId="0" fontId="6" fillId="0" borderId="0" xfId="0" applyFont="1" applyAlignment="1">
      <alignment vertical="top" wrapText="1"/>
    </xf>
    <xf numFmtId="0" fontId="4" fillId="0" borderId="0" xfId="0" applyFont="1" applyAlignment="1"/>
    <xf numFmtId="0" fontId="9" fillId="4" borderId="5" xfId="0" applyFont="1" applyFill="1" applyBorder="1" applyAlignment="1">
      <alignment vertical="top" wrapText="1"/>
    </xf>
    <xf numFmtId="0" fontId="12" fillId="0" borderId="6" xfId="0" applyFont="1" applyBorder="1"/>
    <xf numFmtId="0" fontId="12" fillId="0" borderId="7" xfId="0" applyFont="1" applyBorder="1"/>
    <xf numFmtId="0" fontId="12" fillId="0" borderId="8" xfId="0" applyFont="1" applyBorder="1"/>
    <xf numFmtId="0" fontId="12" fillId="0" borderId="9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/>
    <xf numFmtId="165" fontId="2" fillId="6" borderId="3" xfId="0" applyNumberFormat="1" applyFont="1" applyFill="1" applyBorder="1" applyAlignment="1"/>
    <xf numFmtId="0" fontId="12" fillId="0" borderId="4" xfId="0" applyFont="1" applyBorder="1"/>
    <xf numFmtId="0" fontId="2" fillId="6" borderId="3" xfId="0" applyFont="1" applyFill="1" applyBorder="1" applyAlignment="1"/>
    <xf numFmtId="164" fontId="2" fillId="6" borderId="3" xfId="0" applyNumberFormat="1" applyFont="1" applyFill="1" applyBorder="1" applyAlignment="1"/>
    <xf numFmtId="10" fontId="2" fillId="6" borderId="3" xfId="0" applyNumberFormat="1" applyFont="1" applyFill="1" applyBorder="1" applyAlignment="1"/>
    <xf numFmtId="166" fontId="2" fillId="6" borderId="3" xfId="0" applyNumberFormat="1" applyFont="1" applyFill="1" applyBorder="1" applyAlignment="1"/>
    <xf numFmtId="10" fontId="2" fillId="6" borderId="3" xfId="1" applyNumberFormat="1" applyFont="1" applyFill="1" applyBorder="1" applyAlignment="1"/>
    <xf numFmtId="0" fontId="12" fillId="0" borderId="4" xfId="1" applyFont="1" applyBorder="1"/>
    <xf numFmtId="166" fontId="2" fillId="6" borderId="3" xfId="1" applyNumberFormat="1" applyFont="1" applyFill="1" applyBorder="1" applyAlignment="1"/>
    <xf numFmtId="0" fontId="4" fillId="0" borderId="1" xfId="1" applyFont="1" applyAlignment="1"/>
    <xf numFmtId="0" fontId="0" fillId="0" borderId="1" xfId="1" applyFont="1" applyAlignment="1"/>
    <xf numFmtId="0" fontId="9" fillId="4" borderId="5" xfId="1" applyFont="1" applyFill="1" applyBorder="1" applyAlignment="1">
      <alignment vertical="top" wrapText="1"/>
    </xf>
    <xf numFmtId="0" fontId="12" fillId="0" borderId="6" xfId="1" applyFont="1" applyBorder="1"/>
    <xf numFmtId="0" fontId="12" fillId="0" borderId="7" xfId="1" applyFont="1" applyBorder="1"/>
    <xf numFmtId="0" fontId="12" fillId="0" borderId="8" xfId="1" applyFont="1" applyBorder="1"/>
    <xf numFmtId="0" fontId="12" fillId="0" borderId="9" xfId="1" applyFont="1" applyBorder="1"/>
    <xf numFmtId="0" fontId="12" fillId="0" borderId="10" xfId="1" applyFont="1" applyBorder="1"/>
    <xf numFmtId="0" fontId="12" fillId="0" borderId="11" xfId="1" applyFont="1" applyBorder="1"/>
    <xf numFmtId="0" fontId="12" fillId="0" borderId="12" xfId="1" applyFont="1" applyBorder="1"/>
    <xf numFmtId="165" fontId="2" fillId="6" borderId="3" xfId="1" applyNumberFormat="1" applyFont="1" applyFill="1" applyBorder="1" applyAlignment="1"/>
    <xf numFmtId="0" fontId="2" fillId="6" borderId="3" xfId="1" applyFont="1" applyFill="1" applyBorder="1" applyAlignment="1"/>
    <xf numFmtId="164" fontId="2" fillId="6" borderId="3" xfId="1" applyNumberFormat="1" applyFont="1" applyFill="1" applyBorder="1" applyAlignment="1"/>
    <xf numFmtId="0" fontId="6" fillId="0" borderId="6" xfId="1" applyFont="1" applyBorder="1" applyAlignment="1">
      <alignment horizontal="center" vertical="top" wrapText="1"/>
    </xf>
    <xf numFmtId="0" fontId="6" fillId="0" borderId="1" xfId="1" applyFont="1" applyBorder="1" applyAlignment="1">
      <alignment horizontal="center" vertical="top" wrapText="1"/>
    </xf>
    <xf numFmtId="0" fontId="6" fillId="0" borderId="11" xfId="1" applyFont="1" applyBorder="1" applyAlignment="1">
      <alignment horizontal="center"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CO-model-Africa-Delivery-E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CO-model-Africa-Delivery-Orac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струкция"/>
      <sheetName val="Допущения"/>
      <sheetName val="TCO"/>
    </sheetNames>
    <sheetDataSet>
      <sheetData sheetId="0"/>
      <sheetData sheetId="1">
        <row r="7">
          <cell r="G7">
            <v>3500000</v>
          </cell>
        </row>
        <row r="8">
          <cell r="C8">
            <v>300000</v>
          </cell>
          <cell r="D8">
            <v>1800000</v>
          </cell>
          <cell r="E8">
            <v>6000000</v>
          </cell>
          <cell r="F8">
            <v>12000000</v>
          </cell>
          <cell r="G8">
            <v>18000000</v>
          </cell>
        </row>
        <row r="10">
          <cell r="C10">
            <v>7500000</v>
          </cell>
          <cell r="D10">
            <v>46800000</v>
          </cell>
          <cell r="E10">
            <v>162000000</v>
          </cell>
          <cell r="F10">
            <v>336000000</v>
          </cell>
          <cell r="G10">
            <v>522000000</v>
          </cell>
        </row>
        <row r="16">
          <cell r="C16">
            <v>0.2</v>
          </cell>
        </row>
        <row r="17">
          <cell r="C17">
            <v>0.15</v>
          </cell>
        </row>
        <row r="18">
          <cell r="C18">
            <v>9000</v>
          </cell>
        </row>
        <row r="19">
          <cell r="C19">
            <v>12000</v>
          </cell>
        </row>
        <row r="20">
          <cell r="C20">
            <v>0.99990000000000001</v>
          </cell>
        </row>
        <row r="21">
          <cell r="C21">
            <v>1</v>
          </cell>
        </row>
        <row r="25">
          <cell r="B25" t="str">
            <v>фикс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</row>
        <row r="26">
          <cell r="B26" t="str">
            <v>инфляция</v>
          </cell>
          <cell r="C26">
            <v>1</v>
          </cell>
          <cell r="D26">
            <v>1.08</v>
          </cell>
          <cell r="E26">
            <v>1.1664000000000001</v>
          </cell>
          <cell r="F26">
            <v>1.2597120000000002</v>
          </cell>
          <cell r="G26">
            <v>1.3604889600000003</v>
          </cell>
        </row>
        <row r="27">
          <cell r="B27" t="str">
            <v>ФОТ</v>
          </cell>
          <cell r="C27">
            <v>1</v>
          </cell>
          <cell r="D27">
            <v>1.1200000000000001</v>
          </cell>
          <cell r="E27">
            <v>1.2544000000000002</v>
          </cell>
          <cell r="F27">
            <v>1.4049280000000004</v>
          </cell>
          <cell r="G27">
            <v>1.5735193600000006</v>
          </cell>
        </row>
        <row r="28">
          <cell r="B28" t="str">
            <v>пользователи</v>
          </cell>
          <cell r="C28">
            <v>1</v>
          </cell>
          <cell r="D28">
            <v>4</v>
          </cell>
          <cell r="E28">
            <v>10</v>
          </cell>
          <cell r="F28">
            <v>16.666666666666668</v>
          </cell>
          <cell r="G28">
            <v>23.333333333333332</v>
          </cell>
        </row>
        <row r="29">
          <cell r="B29" t="str">
            <v>заказы</v>
          </cell>
          <cell r="C29">
            <v>1</v>
          </cell>
          <cell r="D29">
            <v>6</v>
          </cell>
          <cell r="E29">
            <v>20</v>
          </cell>
          <cell r="F29">
            <v>40</v>
          </cell>
          <cell r="G29">
            <v>60</v>
          </cell>
        </row>
        <row r="30">
          <cell r="B30" t="str">
            <v>GMV</v>
          </cell>
          <cell r="C30">
            <v>1</v>
          </cell>
          <cell r="D30">
            <v>6.24</v>
          </cell>
          <cell r="E30">
            <v>21.6</v>
          </cell>
          <cell r="F30">
            <v>44.8</v>
          </cell>
          <cell r="G30">
            <v>69.599999999999994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струкция"/>
      <sheetName val="Допущения"/>
      <sheetName val="TCO"/>
    </sheetNames>
    <sheetDataSet>
      <sheetData sheetId="0"/>
      <sheetData sheetId="1">
        <row r="7">
          <cell r="G7">
            <v>3500000</v>
          </cell>
        </row>
        <row r="8">
          <cell r="C8">
            <v>300000</v>
          </cell>
          <cell r="D8">
            <v>1800000</v>
          </cell>
          <cell r="E8">
            <v>6000000</v>
          </cell>
          <cell r="F8">
            <v>12000000</v>
          </cell>
          <cell r="G8">
            <v>18000000</v>
          </cell>
        </row>
        <row r="10">
          <cell r="C10">
            <v>7500000</v>
          </cell>
          <cell r="D10">
            <v>46800000</v>
          </cell>
          <cell r="E10">
            <v>162000000</v>
          </cell>
          <cell r="F10">
            <v>336000000</v>
          </cell>
          <cell r="G10">
            <v>522000000</v>
          </cell>
        </row>
        <row r="16">
          <cell r="C16">
            <v>0.2</v>
          </cell>
        </row>
        <row r="17">
          <cell r="C17">
            <v>0.15</v>
          </cell>
        </row>
        <row r="18">
          <cell r="C18">
            <v>9000</v>
          </cell>
        </row>
        <row r="19">
          <cell r="C19">
            <v>12000</v>
          </cell>
        </row>
        <row r="20">
          <cell r="C20">
            <v>0.99990000000000001</v>
          </cell>
        </row>
        <row r="21">
          <cell r="C21">
            <v>1</v>
          </cell>
        </row>
        <row r="25">
          <cell r="B25" t="str">
            <v>фикс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</row>
        <row r="26">
          <cell r="B26" t="str">
            <v>инфляция</v>
          </cell>
          <cell r="C26">
            <v>1</v>
          </cell>
          <cell r="D26">
            <v>1.08</v>
          </cell>
          <cell r="E26">
            <v>1.1664000000000001</v>
          </cell>
          <cell r="F26">
            <v>1.2597120000000002</v>
          </cell>
          <cell r="G26">
            <v>1.3604889600000003</v>
          </cell>
        </row>
        <row r="27">
          <cell r="B27" t="str">
            <v>ФОТ</v>
          </cell>
          <cell r="C27">
            <v>1</v>
          </cell>
          <cell r="D27">
            <v>1.1200000000000001</v>
          </cell>
          <cell r="E27">
            <v>1.2544000000000002</v>
          </cell>
          <cell r="F27">
            <v>1.4049280000000004</v>
          </cell>
          <cell r="G27">
            <v>1.5735193600000006</v>
          </cell>
        </row>
        <row r="28">
          <cell r="B28" t="str">
            <v>пользователи</v>
          </cell>
          <cell r="C28">
            <v>1</v>
          </cell>
          <cell r="D28">
            <v>4</v>
          </cell>
          <cell r="E28">
            <v>10</v>
          </cell>
          <cell r="F28">
            <v>16.666666666666668</v>
          </cell>
          <cell r="G28">
            <v>23.333333333333332</v>
          </cell>
        </row>
        <row r="29">
          <cell r="B29" t="str">
            <v>заказы</v>
          </cell>
          <cell r="C29">
            <v>1</v>
          </cell>
          <cell r="D29">
            <v>6</v>
          </cell>
          <cell r="E29">
            <v>20</v>
          </cell>
          <cell r="F29">
            <v>40</v>
          </cell>
          <cell r="G29">
            <v>60</v>
          </cell>
        </row>
        <row r="30">
          <cell r="B30" t="str">
            <v>GMV</v>
          </cell>
          <cell r="C30">
            <v>1</v>
          </cell>
          <cell r="D30">
            <v>6.24</v>
          </cell>
          <cell r="E30">
            <v>21.6</v>
          </cell>
          <cell r="F30">
            <v>44.8</v>
          </cell>
          <cell r="G30">
            <v>69.599999999999994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00"/>
  <sheetViews>
    <sheetView showGridLines="0" workbookViewId="0">
      <selection activeCell="C14" sqref="C14"/>
    </sheetView>
  </sheetViews>
  <sheetFormatPr defaultColWidth="14.42578125" defaultRowHeight="15" customHeight="1" x14ac:dyDescent="0.25"/>
  <cols>
    <col min="1" max="1" width="3" customWidth="1"/>
    <col min="2" max="2" width="46" customWidth="1"/>
    <col min="3" max="3" width="78" customWidth="1"/>
    <col min="4" max="26" width="8.7109375" customWidth="1"/>
  </cols>
  <sheetData>
    <row r="2" spans="2:3" ht="18" x14ac:dyDescent="0.25">
      <c r="B2" s="1" t="s">
        <v>0</v>
      </c>
    </row>
    <row r="3" spans="2:3" x14ac:dyDescent="0.25">
      <c r="B3" s="2"/>
      <c r="C3" s="3"/>
    </row>
    <row r="4" spans="2:3" x14ac:dyDescent="0.25">
      <c r="B4" s="4" t="s">
        <v>3</v>
      </c>
      <c r="C4" s="5"/>
    </row>
    <row r="5" spans="2:3" ht="30" customHeight="1" x14ac:dyDescent="0.25">
      <c r="B5" s="2" t="s">
        <v>6</v>
      </c>
      <c r="C5" s="3" t="s">
        <v>7</v>
      </c>
    </row>
    <row r="6" spans="2:3" ht="30" customHeight="1" x14ac:dyDescent="0.25">
      <c r="B6" s="2" t="s">
        <v>8</v>
      </c>
      <c r="C6" s="3" t="s">
        <v>9</v>
      </c>
    </row>
    <row r="7" spans="2:3" x14ac:dyDescent="0.25">
      <c r="B7" s="2"/>
      <c r="C7" s="3"/>
    </row>
    <row r="8" spans="2:3" x14ac:dyDescent="0.25">
      <c r="B8" s="4" t="s">
        <v>10</v>
      </c>
      <c r="C8" s="5"/>
    </row>
    <row r="9" spans="2:3" x14ac:dyDescent="0.25">
      <c r="B9" s="2" t="s">
        <v>11</v>
      </c>
      <c r="C9" s="3" t="s">
        <v>12</v>
      </c>
    </row>
    <row r="10" spans="2:3" x14ac:dyDescent="0.25">
      <c r="B10" s="2" t="s">
        <v>13</v>
      </c>
      <c r="C10" s="3" t="s">
        <v>14</v>
      </c>
    </row>
    <row r="11" spans="2:3" x14ac:dyDescent="0.25">
      <c r="B11" s="2" t="s">
        <v>16</v>
      </c>
      <c r="C11" s="3" t="s">
        <v>17</v>
      </c>
    </row>
    <row r="12" spans="2:3" x14ac:dyDescent="0.25">
      <c r="B12" s="2"/>
      <c r="C12" s="3"/>
    </row>
    <row r="13" spans="2:3" x14ac:dyDescent="0.25">
      <c r="B13" s="4" t="s">
        <v>18</v>
      </c>
      <c r="C13" s="5"/>
    </row>
    <row r="14" spans="2:3" ht="30" customHeight="1" x14ac:dyDescent="0.25">
      <c r="B14" s="2" t="s">
        <v>19</v>
      </c>
      <c r="C14" s="3" t="s">
        <v>20</v>
      </c>
    </row>
    <row r="15" spans="2:3" ht="30" customHeight="1" x14ac:dyDescent="0.25">
      <c r="B15" s="2" t="s">
        <v>21</v>
      </c>
      <c r="C15" s="3" t="s">
        <v>22</v>
      </c>
    </row>
    <row r="16" spans="2:3" ht="30" customHeight="1" x14ac:dyDescent="0.25">
      <c r="B16" s="2" t="s">
        <v>23</v>
      </c>
      <c r="C16" s="3" t="s">
        <v>24</v>
      </c>
    </row>
    <row r="17" spans="2:3" ht="30" customHeight="1" x14ac:dyDescent="0.25">
      <c r="B17" s="2" t="s">
        <v>25</v>
      </c>
      <c r="C17" s="3" t="s">
        <v>26</v>
      </c>
    </row>
    <row r="18" spans="2:3" ht="30" customHeight="1" x14ac:dyDescent="0.25">
      <c r="B18" s="2" t="s">
        <v>27</v>
      </c>
      <c r="C18" s="3" t="s">
        <v>28</v>
      </c>
    </row>
    <row r="19" spans="2:3" x14ac:dyDescent="0.25">
      <c r="B19" s="2"/>
      <c r="C19" s="3"/>
    </row>
    <row r="20" spans="2:3" x14ac:dyDescent="0.25">
      <c r="B20" s="4" t="s">
        <v>29</v>
      </c>
      <c r="C20" s="5"/>
    </row>
    <row r="21" spans="2:3" ht="30" customHeight="1" x14ac:dyDescent="0.25">
      <c r="B21" s="2" t="s">
        <v>30</v>
      </c>
      <c r="C21" s="3" t="s">
        <v>31</v>
      </c>
    </row>
    <row r="22" spans="2:3" ht="30" customHeight="1" x14ac:dyDescent="0.25">
      <c r="B22" s="2" t="s">
        <v>32</v>
      </c>
      <c r="C22" s="3" t="s">
        <v>33</v>
      </c>
    </row>
    <row r="23" spans="2:3" ht="42.75" customHeight="1" x14ac:dyDescent="0.25">
      <c r="B23" s="2" t="s">
        <v>35</v>
      </c>
      <c r="C23" s="3" t="s">
        <v>36</v>
      </c>
    </row>
    <row r="24" spans="2:3" ht="30" customHeight="1" x14ac:dyDescent="0.25">
      <c r="B24" s="2" t="s">
        <v>37</v>
      </c>
      <c r="C24" s="3" t="s">
        <v>38</v>
      </c>
    </row>
    <row r="25" spans="2:3" ht="30" customHeight="1" x14ac:dyDescent="0.25">
      <c r="B25" s="2" t="s">
        <v>39</v>
      </c>
      <c r="C25" s="3" t="s">
        <v>40</v>
      </c>
    </row>
    <row r="26" spans="2:3" ht="44.25" customHeight="1" x14ac:dyDescent="0.25">
      <c r="B26" s="2" t="s">
        <v>43</v>
      </c>
      <c r="C26" s="3" t="s">
        <v>45</v>
      </c>
    </row>
    <row r="27" spans="2:3" ht="15.75" customHeight="1" x14ac:dyDescent="0.25">
      <c r="B27" s="2"/>
      <c r="C27" s="3"/>
    </row>
    <row r="28" spans="2:3" ht="30" customHeight="1" x14ac:dyDescent="0.25">
      <c r="B28" s="53" t="s">
        <v>51</v>
      </c>
      <c r="C28" s="54"/>
    </row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8:C28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0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9" sqref="C19"/>
    </sheetView>
  </sheetViews>
  <sheetFormatPr defaultColWidth="14.42578125" defaultRowHeight="15" customHeight="1" x14ac:dyDescent="0.25"/>
  <cols>
    <col min="1" max="1" width="3" customWidth="1"/>
    <col min="2" max="2" width="49.140625" customWidth="1"/>
    <col min="3" max="7" width="15" customWidth="1"/>
    <col min="8" max="8" width="55.42578125" bestFit="1" customWidth="1"/>
    <col min="9" max="26" width="8.7109375" customWidth="1"/>
  </cols>
  <sheetData>
    <row r="2" spans="2:8" ht="18" x14ac:dyDescent="0.25">
      <c r="B2" s="1" t="s">
        <v>2</v>
      </c>
    </row>
    <row r="3" spans="2:8" x14ac:dyDescent="0.25">
      <c r="B3" s="6" t="s">
        <v>4</v>
      </c>
    </row>
    <row r="5" spans="2:8" x14ac:dyDescent="0.25">
      <c r="B5" s="7" t="s">
        <v>15</v>
      </c>
      <c r="C5" s="8"/>
      <c r="D5" s="8"/>
      <c r="E5" s="8"/>
      <c r="F5" s="8"/>
      <c r="G5" s="8"/>
      <c r="H5" s="8"/>
    </row>
    <row r="6" spans="2:8" x14ac:dyDescent="0.25">
      <c r="B6" s="9" t="s">
        <v>34</v>
      </c>
      <c r="C6" s="9" t="s">
        <v>42</v>
      </c>
      <c r="D6" s="9" t="s">
        <v>44</v>
      </c>
      <c r="E6" s="9" t="s">
        <v>46</v>
      </c>
      <c r="F6" s="9" t="s">
        <v>47</v>
      </c>
      <c r="G6" s="9" t="s">
        <v>48</v>
      </c>
      <c r="H6" s="9" t="s">
        <v>50</v>
      </c>
    </row>
    <row r="7" spans="2:8" x14ac:dyDescent="0.25">
      <c r="B7" s="10" t="s">
        <v>53</v>
      </c>
      <c r="C7" s="11">
        <v>150000</v>
      </c>
      <c r="D7" s="11">
        <v>600000</v>
      </c>
      <c r="E7" s="11">
        <v>1500000</v>
      </c>
      <c r="F7" s="11">
        <v>2500000</v>
      </c>
      <c r="G7" s="11">
        <v>3500000</v>
      </c>
      <c r="H7" s="12" t="s">
        <v>54</v>
      </c>
    </row>
    <row r="8" spans="2:8" x14ac:dyDescent="0.25">
      <c r="B8" s="10" t="s">
        <v>55</v>
      </c>
      <c r="C8" s="11">
        <v>300000</v>
      </c>
      <c r="D8" s="11">
        <v>1800000</v>
      </c>
      <c r="E8" s="11">
        <v>6000000</v>
      </c>
      <c r="F8" s="11">
        <v>12000000</v>
      </c>
      <c r="G8" s="11">
        <v>18000000</v>
      </c>
      <c r="H8" s="12" t="s">
        <v>56</v>
      </c>
    </row>
    <row r="9" spans="2:8" x14ac:dyDescent="0.25">
      <c r="B9" s="10" t="s">
        <v>57</v>
      </c>
      <c r="C9" s="13">
        <v>25</v>
      </c>
      <c r="D9" s="13">
        <v>26</v>
      </c>
      <c r="E9" s="13">
        <v>27</v>
      </c>
      <c r="F9" s="13">
        <v>28</v>
      </c>
      <c r="G9" s="13">
        <v>29</v>
      </c>
      <c r="H9" s="12" t="s">
        <v>58</v>
      </c>
    </row>
    <row r="10" spans="2:8" x14ac:dyDescent="0.25">
      <c r="B10" s="14" t="s">
        <v>59</v>
      </c>
      <c r="C10" s="15">
        <f t="shared" ref="C10:G10" si="0">C8*C9</f>
        <v>7500000</v>
      </c>
      <c r="D10" s="15">
        <f t="shared" si="0"/>
        <v>46800000</v>
      </c>
      <c r="E10" s="15">
        <f t="shared" si="0"/>
        <v>162000000</v>
      </c>
      <c r="F10" s="15">
        <f t="shared" si="0"/>
        <v>336000000</v>
      </c>
      <c r="G10" s="15">
        <f t="shared" si="0"/>
        <v>522000000</v>
      </c>
      <c r="H10" s="12" t="s">
        <v>65</v>
      </c>
    </row>
    <row r="12" spans="2:8" x14ac:dyDescent="0.25">
      <c r="B12" s="7" t="s">
        <v>66</v>
      </c>
      <c r="C12" s="8"/>
      <c r="D12" s="8"/>
      <c r="E12" s="8"/>
      <c r="F12" s="8"/>
      <c r="G12" s="8"/>
      <c r="H12" s="8"/>
    </row>
    <row r="13" spans="2:8" x14ac:dyDescent="0.25">
      <c r="B13" s="9" t="s">
        <v>67</v>
      </c>
      <c r="C13" s="9" t="s">
        <v>68</v>
      </c>
      <c r="D13" s="9"/>
      <c r="E13" s="9"/>
      <c r="F13" s="9"/>
      <c r="G13" s="9"/>
      <c r="H13" s="9" t="s">
        <v>50</v>
      </c>
    </row>
    <row r="14" spans="2:8" x14ac:dyDescent="0.25">
      <c r="B14" s="10" t="s">
        <v>69</v>
      </c>
      <c r="C14" s="18">
        <v>0.08</v>
      </c>
      <c r="H14" s="12" t="s">
        <v>70</v>
      </c>
    </row>
    <row r="15" spans="2:8" x14ac:dyDescent="0.25">
      <c r="B15" s="10" t="s">
        <v>71</v>
      </c>
      <c r="C15" s="18">
        <v>0.12</v>
      </c>
      <c r="H15" s="12" t="s">
        <v>72</v>
      </c>
    </row>
    <row r="16" spans="2:8" x14ac:dyDescent="0.25">
      <c r="B16" s="10" t="s">
        <v>73</v>
      </c>
      <c r="C16" s="18">
        <v>0.2</v>
      </c>
      <c r="H16" s="12" t="s">
        <v>74</v>
      </c>
    </row>
    <row r="17" spans="2:8" x14ac:dyDescent="0.25">
      <c r="B17" s="10" t="s">
        <v>75</v>
      </c>
      <c r="C17" s="18">
        <v>0.15</v>
      </c>
      <c r="H17" s="12" t="s">
        <v>76</v>
      </c>
    </row>
    <row r="18" spans="2:8" x14ac:dyDescent="0.25">
      <c r="B18" s="10" t="s">
        <v>77</v>
      </c>
      <c r="C18" s="17">
        <v>5000</v>
      </c>
      <c r="H18" s="12" t="s">
        <v>78</v>
      </c>
    </row>
    <row r="19" spans="2:8" x14ac:dyDescent="0.25">
      <c r="B19" s="10" t="s">
        <v>79</v>
      </c>
      <c r="C19" s="17">
        <v>12000</v>
      </c>
      <c r="H19" s="12" t="s">
        <v>80</v>
      </c>
    </row>
    <row r="20" spans="2:8" x14ac:dyDescent="0.25">
      <c r="B20" s="10" t="s">
        <v>81</v>
      </c>
      <c r="C20" s="19">
        <v>0.99990000000000001</v>
      </c>
      <c r="H20" s="12" t="s">
        <v>82</v>
      </c>
    </row>
    <row r="21" spans="2:8" ht="15.75" customHeight="1" x14ac:dyDescent="0.25">
      <c r="B21" s="10" t="s">
        <v>83</v>
      </c>
      <c r="C21" s="20">
        <v>1</v>
      </c>
      <c r="H21" s="12" t="s">
        <v>84</v>
      </c>
    </row>
    <row r="22" spans="2:8" ht="15.75" customHeight="1" x14ac:dyDescent="0.25"/>
    <row r="23" spans="2:8" ht="15.75" customHeight="1" x14ac:dyDescent="0.25">
      <c r="B23" s="7" t="s">
        <v>85</v>
      </c>
      <c r="C23" s="8"/>
      <c r="D23" s="8"/>
      <c r="E23" s="8"/>
      <c r="F23" s="8"/>
      <c r="G23" s="8"/>
      <c r="H23" s="8"/>
    </row>
    <row r="24" spans="2:8" ht="15.75" customHeight="1" x14ac:dyDescent="0.25">
      <c r="B24" s="9" t="s">
        <v>86</v>
      </c>
      <c r="C24" s="9" t="s">
        <v>42</v>
      </c>
      <c r="D24" s="9" t="s">
        <v>44</v>
      </c>
      <c r="E24" s="9" t="s">
        <v>46</v>
      </c>
      <c r="F24" s="9" t="s">
        <v>47</v>
      </c>
      <c r="G24" s="9" t="s">
        <v>48</v>
      </c>
      <c r="H24" s="9" t="s">
        <v>87</v>
      </c>
    </row>
    <row r="25" spans="2:8" ht="15.75" customHeight="1" x14ac:dyDescent="0.25">
      <c r="B25" s="10" t="s">
        <v>88</v>
      </c>
      <c r="C25" s="21">
        <v>1</v>
      </c>
      <c r="D25" s="21">
        <v>1</v>
      </c>
      <c r="E25" s="21">
        <v>1</v>
      </c>
      <c r="F25" s="21">
        <v>1</v>
      </c>
      <c r="G25" s="21">
        <v>1</v>
      </c>
      <c r="H25" s="12" t="s">
        <v>89</v>
      </c>
    </row>
    <row r="26" spans="2:8" ht="15.75" customHeight="1" x14ac:dyDescent="0.25">
      <c r="B26" s="10" t="s">
        <v>90</v>
      </c>
      <c r="C26" s="21">
        <v>1</v>
      </c>
      <c r="D26" s="21">
        <f t="shared" ref="D26:G26" si="1">C26*(1+$C$14)</f>
        <v>1.08</v>
      </c>
      <c r="E26" s="21">
        <f t="shared" si="1"/>
        <v>1.1664000000000001</v>
      </c>
      <c r="F26" s="21">
        <f t="shared" si="1"/>
        <v>1.2597120000000002</v>
      </c>
      <c r="G26" s="21">
        <f t="shared" si="1"/>
        <v>1.3604889600000003</v>
      </c>
      <c r="H26" s="12" t="s">
        <v>91</v>
      </c>
    </row>
    <row r="27" spans="2:8" ht="15.75" customHeight="1" x14ac:dyDescent="0.25">
      <c r="B27" s="10" t="s">
        <v>92</v>
      </c>
      <c r="C27" s="21">
        <v>1</v>
      </c>
      <c r="D27" s="21">
        <f t="shared" ref="D27:G27" si="2">C27*(1+$C$15)</f>
        <v>1.1200000000000001</v>
      </c>
      <c r="E27" s="21">
        <f t="shared" si="2"/>
        <v>1.2544000000000002</v>
      </c>
      <c r="F27" s="21">
        <f t="shared" si="2"/>
        <v>1.4049280000000004</v>
      </c>
      <c r="G27" s="21">
        <f t="shared" si="2"/>
        <v>1.5735193600000006</v>
      </c>
      <c r="H27" s="12" t="s">
        <v>93</v>
      </c>
    </row>
    <row r="28" spans="2:8" ht="15.75" customHeight="1" x14ac:dyDescent="0.25">
      <c r="B28" s="10" t="s">
        <v>64</v>
      </c>
      <c r="C28" s="21">
        <f t="shared" ref="C28:G28" si="3">C7/$C$7</f>
        <v>1</v>
      </c>
      <c r="D28" s="21">
        <f t="shared" si="3"/>
        <v>4</v>
      </c>
      <c r="E28" s="21">
        <f t="shared" si="3"/>
        <v>10</v>
      </c>
      <c r="F28" s="21">
        <f t="shared" si="3"/>
        <v>16.666666666666668</v>
      </c>
      <c r="G28" s="21">
        <f t="shared" si="3"/>
        <v>23.333333333333332</v>
      </c>
      <c r="H28" s="12" t="s">
        <v>94</v>
      </c>
    </row>
    <row r="29" spans="2:8" ht="15.75" customHeight="1" x14ac:dyDescent="0.25">
      <c r="B29" s="10" t="s">
        <v>95</v>
      </c>
      <c r="C29" s="21">
        <f t="shared" ref="C29:G29" si="4">C8/$C$8</f>
        <v>1</v>
      </c>
      <c r="D29" s="21">
        <f t="shared" si="4"/>
        <v>6</v>
      </c>
      <c r="E29" s="21">
        <f t="shared" si="4"/>
        <v>20</v>
      </c>
      <c r="F29" s="21">
        <f t="shared" si="4"/>
        <v>40</v>
      </c>
      <c r="G29" s="21">
        <f t="shared" si="4"/>
        <v>60</v>
      </c>
      <c r="H29" s="12" t="s">
        <v>96</v>
      </c>
    </row>
    <row r="30" spans="2:8" ht="15.75" customHeight="1" x14ac:dyDescent="0.25">
      <c r="B30" s="10" t="s">
        <v>97</v>
      </c>
      <c r="C30" s="21">
        <f t="shared" ref="C30:G30" si="5">C10/$C$10</f>
        <v>1</v>
      </c>
      <c r="D30" s="21">
        <f t="shared" si="5"/>
        <v>6.24</v>
      </c>
      <c r="E30" s="21">
        <f t="shared" si="5"/>
        <v>21.6</v>
      </c>
      <c r="F30" s="21">
        <f t="shared" si="5"/>
        <v>44.8</v>
      </c>
      <c r="G30" s="21">
        <f t="shared" si="5"/>
        <v>69.599999999999994</v>
      </c>
      <c r="H30" s="12" t="s">
        <v>98</v>
      </c>
    </row>
    <row r="31" spans="2:8" ht="15.75" customHeight="1" x14ac:dyDescent="0.25"/>
    <row r="32" spans="2:8" ht="15" customHeight="1" x14ac:dyDescent="0.25">
      <c r="B32" s="55" t="s">
        <v>99</v>
      </c>
      <c r="C32" s="54"/>
      <c r="D32" s="54"/>
      <c r="E32" s="54"/>
      <c r="F32" s="54"/>
      <c r="G32" s="54"/>
      <c r="H32" s="54"/>
    </row>
    <row r="33" spans="2:8" ht="15.75" customHeight="1" x14ac:dyDescent="0.25">
      <c r="B33" s="54"/>
      <c r="C33" s="54"/>
      <c r="D33" s="54"/>
      <c r="E33" s="54"/>
      <c r="F33" s="54"/>
      <c r="G33" s="54"/>
      <c r="H33" s="54"/>
    </row>
    <row r="34" spans="2:8" ht="15.75" customHeight="1" x14ac:dyDescent="0.25"/>
    <row r="35" spans="2:8" ht="15.75" customHeight="1" x14ac:dyDescent="0.25"/>
    <row r="36" spans="2:8" ht="15.75" customHeight="1" x14ac:dyDescent="0.25"/>
    <row r="37" spans="2:8" ht="15.75" customHeight="1" x14ac:dyDescent="0.25"/>
    <row r="38" spans="2:8" ht="15.75" customHeight="1" x14ac:dyDescent="0.25"/>
    <row r="39" spans="2:8" ht="15.75" customHeight="1" x14ac:dyDescent="0.25"/>
    <row r="40" spans="2:8" ht="15.75" customHeight="1" x14ac:dyDescent="0.25"/>
    <row r="41" spans="2:8" ht="15.75" customHeight="1" x14ac:dyDescent="0.25"/>
    <row r="42" spans="2:8" ht="15.75" customHeight="1" x14ac:dyDescent="0.25"/>
    <row r="43" spans="2:8" ht="15.75" customHeight="1" x14ac:dyDescent="0.25"/>
    <row r="44" spans="2:8" ht="15.75" customHeight="1" x14ac:dyDescent="0.25"/>
    <row r="45" spans="2:8" ht="15.75" customHeight="1" x14ac:dyDescent="0.25"/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2:H33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000"/>
  <sheetViews>
    <sheetView showGridLines="0" workbookViewId="0">
      <pane xSplit="2" ySplit="5" topLeftCell="C48" activePane="bottomRight" state="frozen"/>
      <selection pane="topRight" activeCell="C1" sqref="C1"/>
      <selection pane="bottomLeft" activeCell="A6" sqref="A6"/>
      <selection pane="bottomRight" activeCell="L43" sqref="L43"/>
    </sheetView>
  </sheetViews>
  <sheetFormatPr defaultColWidth="14.42578125" defaultRowHeight="15" customHeight="1" x14ac:dyDescent="0.25"/>
  <cols>
    <col min="1" max="1" width="3" customWidth="1"/>
    <col min="2" max="2" width="53.7109375" customWidth="1"/>
    <col min="3" max="3" width="16" customWidth="1"/>
    <col min="4" max="4" width="15" customWidth="1"/>
    <col min="5" max="10" width="14" customWidth="1"/>
    <col min="11" max="11" width="10" customWidth="1"/>
    <col min="12" max="12" width="46" customWidth="1"/>
    <col min="13" max="26" width="8.7109375" customWidth="1"/>
  </cols>
  <sheetData>
    <row r="2" spans="2:12" ht="18" x14ac:dyDescent="0.25">
      <c r="B2" s="1" t="s">
        <v>1</v>
      </c>
    </row>
    <row r="3" spans="2:12" x14ac:dyDescent="0.25">
      <c r="B3" s="6" t="s">
        <v>5</v>
      </c>
    </row>
    <row r="5" spans="2:12" ht="31.5" customHeight="1" x14ac:dyDescent="0.25">
      <c r="B5" s="9" t="s">
        <v>41</v>
      </c>
      <c r="C5" s="9" t="s">
        <v>49</v>
      </c>
      <c r="D5" s="9" t="s">
        <v>52</v>
      </c>
      <c r="E5" s="9" t="s">
        <v>42</v>
      </c>
      <c r="F5" s="9" t="s">
        <v>44</v>
      </c>
      <c r="G5" s="9" t="s">
        <v>46</v>
      </c>
      <c r="H5" s="9" t="s">
        <v>47</v>
      </c>
      <c r="I5" s="9" t="s">
        <v>48</v>
      </c>
      <c r="J5" s="9" t="s">
        <v>60</v>
      </c>
      <c r="K5" s="9" t="s">
        <v>61</v>
      </c>
      <c r="L5" s="9" t="s">
        <v>50</v>
      </c>
    </row>
    <row r="6" spans="2:12" x14ac:dyDescent="0.25">
      <c r="B6" s="7" t="s">
        <v>62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2:12" x14ac:dyDescent="0.25">
      <c r="B7" s="10" t="s">
        <v>63</v>
      </c>
      <c r="C7" s="16" t="s">
        <v>64</v>
      </c>
      <c r="D7" s="17">
        <v>15000</v>
      </c>
      <c r="E7" s="22">
        <f t="array" ref="E7">IF($D7="","",$D7*INDEX(Допущения!$C$25:$G$30,MATCH($C7,Допущения!$B$25:$B$30,0),1))</f>
        <v>15000</v>
      </c>
      <c r="F7" s="22">
        <f t="array" ref="F7">IF($D7="","",$D7*INDEX(Допущения!$C$25:$G$30,MATCH($C7,Допущения!$B$25:$B$30,0),2))</f>
        <v>60000</v>
      </c>
      <c r="G7" s="22">
        <f t="array" ref="G7">IF($D7="","",$D7*INDEX(Допущения!$C$25:$G$30,MATCH($C7,Допущения!$B$25:$B$30,0),3))</f>
        <v>150000</v>
      </c>
      <c r="H7" s="22">
        <f t="array" ref="H7">IF($D7="","",$D7*INDEX(Допущения!$C$25:$G$30,MATCH($C7,Допущения!$B$25:$B$30,0),4))</f>
        <v>250000.00000000003</v>
      </c>
      <c r="I7" s="22">
        <f t="array" ref="I7">IF($D7="","",$D7*INDEX(Допущения!$C$25:$G$30,MATCH($C7,Допущения!$B$25:$B$30,0),5))</f>
        <v>350000</v>
      </c>
      <c r="J7" s="22">
        <f t="shared" ref="J7:J14" si="0">SUM(E7:I7)</f>
        <v>825000</v>
      </c>
      <c r="K7" s="23"/>
      <c r="L7" s="24" t="s">
        <v>100</v>
      </c>
    </row>
    <row r="8" spans="2:12" x14ac:dyDescent="0.25">
      <c r="B8" s="10" t="s">
        <v>101</v>
      </c>
      <c r="C8" s="16" t="s">
        <v>64</v>
      </c>
      <c r="D8" s="17">
        <v>12000</v>
      </c>
      <c r="E8" s="22">
        <f t="array" ref="E8">IF($D8="","",$D8*INDEX(Допущения!$C$25:$G$30,MATCH($C8,Допущения!$B$25:$B$30,0),1))</f>
        <v>12000</v>
      </c>
      <c r="F8" s="22">
        <f t="array" ref="F8">IF($D8="","",$D8*INDEX(Допущения!$C$25:$G$30,MATCH($C8,Допущения!$B$25:$B$30,0),2))</f>
        <v>48000</v>
      </c>
      <c r="G8" s="22">
        <f t="array" ref="G8">IF($D8="","",$D8*INDEX(Допущения!$C$25:$G$30,MATCH($C8,Допущения!$B$25:$B$30,0),3))</f>
        <v>120000</v>
      </c>
      <c r="H8" s="22">
        <f t="array" ref="H8">IF($D8="","",$D8*INDEX(Допущения!$C$25:$G$30,MATCH($C8,Допущения!$B$25:$B$30,0),4))</f>
        <v>200000</v>
      </c>
      <c r="I8" s="22">
        <f t="array" ref="I8">IF($D8="","",$D8*INDEX(Допущения!$C$25:$G$30,MATCH($C8,Допущения!$B$25:$B$30,0),5))</f>
        <v>280000</v>
      </c>
      <c r="J8" s="22">
        <f t="shared" si="0"/>
        <v>660000</v>
      </c>
      <c r="K8" s="23"/>
      <c r="L8" s="24" t="s">
        <v>102</v>
      </c>
    </row>
    <row r="9" spans="2:12" x14ac:dyDescent="0.25">
      <c r="B9" s="10" t="s">
        <v>103</v>
      </c>
      <c r="C9" s="16" t="s">
        <v>64</v>
      </c>
      <c r="D9" s="17">
        <v>6000</v>
      </c>
      <c r="E9" s="22">
        <f t="array" ref="E9">IF($D9="","",$D9*INDEX(Допущения!$C$25:$G$30,MATCH($C9,Допущения!$B$25:$B$30,0),1))</f>
        <v>6000</v>
      </c>
      <c r="F9" s="22">
        <f t="array" ref="F9">IF($D9="","",$D9*INDEX(Допущения!$C$25:$G$30,MATCH($C9,Допущения!$B$25:$B$30,0),2))</f>
        <v>24000</v>
      </c>
      <c r="G9" s="22">
        <f t="array" ref="G9">IF($D9="","",$D9*INDEX(Допущения!$C$25:$G$30,MATCH($C9,Допущения!$B$25:$B$30,0),3))</f>
        <v>60000</v>
      </c>
      <c r="H9" s="22">
        <f t="array" ref="H9">IF($D9="","",$D9*INDEX(Допущения!$C$25:$G$30,MATCH($C9,Допущения!$B$25:$B$30,0),4))</f>
        <v>100000</v>
      </c>
      <c r="I9" s="22">
        <f t="array" ref="I9">IF($D9="","",$D9*INDEX(Допущения!$C$25:$G$30,MATCH($C9,Допущения!$B$25:$B$30,0),5))</f>
        <v>140000</v>
      </c>
      <c r="J9" s="22">
        <f t="shared" si="0"/>
        <v>330000</v>
      </c>
      <c r="K9" s="23"/>
      <c r="L9" s="24" t="s">
        <v>104</v>
      </c>
    </row>
    <row r="10" spans="2:12" x14ac:dyDescent="0.25">
      <c r="B10" s="10" t="s">
        <v>105</v>
      </c>
      <c r="C10" s="16" t="s">
        <v>64</v>
      </c>
      <c r="D10" s="17">
        <v>10000</v>
      </c>
      <c r="E10" s="22">
        <f t="array" ref="E10">IF($D10="","",$D10*INDEX(Допущения!$C$25:$G$30,MATCH($C10,Допущения!$B$25:$B$30,0),1))</f>
        <v>10000</v>
      </c>
      <c r="F10" s="22">
        <f t="array" ref="F10">IF($D10="","",$D10*INDEX(Допущения!$C$25:$G$30,MATCH($C10,Допущения!$B$25:$B$30,0),2))</f>
        <v>40000</v>
      </c>
      <c r="G10" s="22">
        <f t="array" ref="G10">IF($D10="","",$D10*INDEX(Допущения!$C$25:$G$30,MATCH($C10,Допущения!$B$25:$B$30,0),3))</f>
        <v>100000</v>
      </c>
      <c r="H10" s="22">
        <f t="array" ref="H10">IF($D10="","",$D10*INDEX(Допущения!$C$25:$G$30,MATCH($C10,Допущения!$B$25:$B$30,0),4))</f>
        <v>166666.66666666669</v>
      </c>
      <c r="I10" s="22">
        <f t="array" ref="I10">IF($D10="","",$D10*INDEX(Допущения!$C$25:$G$30,MATCH($C10,Допущения!$B$25:$B$30,0),5))</f>
        <v>233333.33333333331</v>
      </c>
      <c r="J10" s="22">
        <f t="shared" si="0"/>
        <v>550000</v>
      </c>
      <c r="K10" s="23"/>
      <c r="L10" s="24" t="s">
        <v>106</v>
      </c>
    </row>
    <row r="11" spans="2:12" x14ac:dyDescent="0.25">
      <c r="B11" s="10" t="s">
        <v>107</v>
      </c>
      <c r="C11" s="16" t="s">
        <v>64</v>
      </c>
      <c r="D11" s="17">
        <v>0</v>
      </c>
      <c r="E11" s="22">
        <f t="array" ref="E11">IF($D11="","",$D11*INDEX(Допущения!$C$25:$G$30,MATCH($C11,Допущения!$B$25:$B$30,0),1))</f>
        <v>0</v>
      </c>
      <c r="F11" s="22">
        <f t="array" ref="F11">IF($D11="","",$D11*INDEX(Допущения!$C$25:$G$30,MATCH($C11,Допущения!$B$25:$B$30,0),2))</f>
        <v>0</v>
      </c>
      <c r="G11" s="22">
        <f t="array" ref="G11">IF($D11="","",$D11*INDEX(Допущения!$C$25:$G$30,MATCH($C11,Допущения!$B$25:$B$30,0),3))</f>
        <v>0</v>
      </c>
      <c r="H11" s="22">
        <f t="array" ref="H11">IF($D11="","",$D11*INDEX(Допущения!$C$25:$G$30,MATCH($C11,Допущения!$B$25:$B$30,0),4))</f>
        <v>0</v>
      </c>
      <c r="I11" s="22">
        <f t="array" ref="I11">IF($D11="","",$D11*INDEX(Допущения!$C$25:$G$30,MATCH($C11,Допущения!$B$25:$B$30,0),5))</f>
        <v>0</v>
      </c>
      <c r="J11" s="22">
        <f t="shared" si="0"/>
        <v>0</v>
      </c>
      <c r="K11" s="23"/>
      <c r="L11" s="24" t="s">
        <v>108</v>
      </c>
    </row>
    <row r="12" spans="2:12" x14ac:dyDescent="0.25">
      <c r="B12" s="10" t="s">
        <v>109</v>
      </c>
      <c r="C12" s="16" t="s">
        <v>64</v>
      </c>
      <c r="D12" s="17">
        <v>0</v>
      </c>
      <c r="E12" s="22">
        <f t="array" ref="E12">IF($D12="","",$D12*INDEX(Допущения!$C$25:$G$30,MATCH($C12,Допущения!$B$25:$B$30,0),1))</f>
        <v>0</v>
      </c>
      <c r="F12" s="22">
        <f t="array" ref="F12">IF($D12="","",$D12*INDEX(Допущения!$C$25:$G$30,MATCH($C12,Допущения!$B$25:$B$30,0),2))</f>
        <v>0</v>
      </c>
      <c r="G12" s="22">
        <f t="array" ref="G12">IF($D12="","",$D12*INDEX(Допущения!$C$25:$G$30,MATCH($C12,Допущения!$B$25:$B$30,0),3))</f>
        <v>0</v>
      </c>
      <c r="H12" s="22">
        <f t="array" ref="H12">IF($D12="","",$D12*INDEX(Допущения!$C$25:$G$30,MATCH($C12,Допущения!$B$25:$B$30,0),4))</f>
        <v>0</v>
      </c>
      <c r="I12" s="22">
        <f t="array" ref="I12">IF($D12="","",$D12*INDEX(Допущения!$C$25:$G$30,MATCH($C12,Допущения!$B$25:$B$30,0),5))</f>
        <v>0</v>
      </c>
      <c r="J12" s="22">
        <f t="shared" si="0"/>
        <v>0</v>
      </c>
      <c r="K12" s="23"/>
      <c r="L12" s="24" t="s">
        <v>110</v>
      </c>
    </row>
    <row r="13" spans="2:12" x14ac:dyDescent="0.25">
      <c r="B13" s="10" t="s">
        <v>111</v>
      </c>
      <c r="C13" s="16" t="s">
        <v>90</v>
      </c>
      <c r="D13" s="17">
        <v>12000</v>
      </c>
      <c r="E13" s="22">
        <f t="array" ref="E13">IF($D13="","",$D13*INDEX(Допущения!$C$25:$G$30,MATCH($C13,Допущения!$B$25:$B$30,0),1))</f>
        <v>12000</v>
      </c>
      <c r="F13" s="22">
        <f t="array" ref="F13">IF($D13="","",$D13*INDEX(Допущения!$C$25:$G$30,MATCH($C13,Допущения!$B$25:$B$30,0),2))</f>
        <v>12960</v>
      </c>
      <c r="G13" s="22">
        <f t="array" ref="G13">IF($D13="","",$D13*INDEX(Допущения!$C$25:$G$30,MATCH($C13,Допущения!$B$25:$B$30,0),3))</f>
        <v>13996.800000000001</v>
      </c>
      <c r="H13" s="22">
        <f t="array" ref="H13">IF($D13="","",$D13*INDEX(Допущения!$C$25:$G$30,MATCH($C13,Допущения!$B$25:$B$30,0),4))</f>
        <v>15116.544000000002</v>
      </c>
      <c r="I13" s="22">
        <f t="array" ref="I13">IF($D13="","",$D13*INDEX(Допущения!$C$25:$G$30,MATCH($C13,Допущения!$B$25:$B$30,0),5))</f>
        <v>16325.867520000003</v>
      </c>
      <c r="J13" s="22">
        <f t="shared" si="0"/>
        <v>70399.211520000012</v>
      </c>
      <c r="K13" s="23"/>
      <c r="L13" s="24" t="s">
        <v>112</v>
      </c>
    </row>
    <row r="14" spans="2:12" x14ac:dyDescent="0.25">
      <c r="B14" s="10"/>
      <c r="C14" s="16" t="s">
        <v>88</v>
      </c>
      <c r="D14" s="17"/>
      <c r="E14" s="22" t="str">
        <f t="array" ref="E14">IF($D14="","",$D14*INDEX(Допущения!$C$25:$G$30,MATCH($C14,Допущения!$B$25:$B$30,0),1))</f>
        <v/>
      </c>
      <c r="F14" s="22" t="str">
        <f t="array" ref="F14">IF($D14="","",$D14*INDEX(Допущения!$C$25:$G$30,MATCH($C14,Допущения!$B$25:$B$30,0),2))</f>
        <v/>
      </c>
      <c r="G14" s="22" t="str">
        <f t="array" ref="G14">IF($D14="","",$D14*INDEX(Допущения!$C$25:$G$30,MATCH($C14,Допущения!$B$25:$B$30,0),3))</f>
        <v/>
      </c>
      <c r="H14" s="22" t="str">
        <f t="array" ref="H14">IF($D14="","",$D14*INDEX(Допущения!$C$25:$G$30,MATCH($C14,Допущения!$B$25:$B$30,0),4))</f>
        <v/>
      </c>
      <c r="I14" s="22" t="str">
        <f t="array" ref="I14">IF($D14="","",$D14*INDEX(Допущения!$C$25:$G$30,MATCH($C14,Допущения!$B$25:$B$30,0),5))</f>
        <v/>
      </c>
      <c r="J14" s="22">
        <f t="shared" si="0"/>
        <v>0</v>
      </c>
      <c r="K14" s="23"/>
      <c r="L14" s="24" t="s">
        <v>113</v>
      </c>
    </row>
    <row r="15" spans="2:12" x14ac:dyDescent="0.25">
      <c r="B15" s="25" t="s">
        <v>114</v>
      </c>
      <c r="C15" s="26"/>
      <c r="D15" s="26"/>
      <c r="E15" s="27">
        <f t="shared" ref="E15:J15" si="1">SUM(E7:E14)</f>
        <v>55000</v>
      </c>
      <c r="F15" s="27">
        <f t="shared" si="1"/>
        <v>184960</v>
      </c>
      <c r="G15" s="27">
        <f t="shared" si="1"/>
        <v>443996.8</v>
      </c>
      <c r="H15" s="27">
        <f t="shared" si="1"/>
        <v>731783.21066666674</v>
      </c>
      <c r="I15" s="27">
        <f t="shared" si="1"/>
        <v>1019659.2008533332</v>
      </c>
      <c r="J15" s="27">
        <f t="shared" si="1"/>
        <v>2435399.2115199999</v>
      </c>
      <c r="K15" s="28">
        <f>IFERROR(J15/$J$51,0)</f>
        <v>4.6333720163110513E-2</v>
      </c>
      <c r="L15" s="26"/>
    </row>
    <row r="16" spans="2:12" x14ac:dyDescent="0.25">
      <c r="C16" s="29"/>
    </row>
    <row r="17" spans="2:12" x14ac:dyDescent="0.25">
      <c r="B17" s="7" t="s">
        <v>115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 x14ac:dyDescent="0.25">
      <c r="B18" s="10" t="s">
        <v>116</v>
      </c>
      <c r="C18" s="16" t="s">
        <v>64</v>
      </c>
      <c r="D18" s="17">
        <v>4000</v>
      </c>
      <c r="E18" s="22">
        <f t="array" ref="E18">IF($D18="","",$D18*INDEX(Допущения!$C$25:$G$30,MATCH($C18,Допущения!$B$25:$B$30,0),1))</f>
        <v>4000</v>
      </c>
      <c r="F18" s="22">
        <f t="array" ref="F18">IF($D18="","",$D18*INDEX(Допущения!$C$25:$G$30,MATCH($C18,Допущения!$B$25:$B$30,0),2))</f>
        <v>16000</v>
      </c>
      <c r="G18" s="22">
        <f t="array" ref="G18">IF($D18="","",$D18*INDEX(Допущения!$C$25:$G$30,MATCH($C18,Допущения!$B$25:$B$30,0),3))</f>
        <v>40000</v>
      </c>
      <c r="H18" s="22">
        <f t="array" ref="H18">IF($D18="","",$D18*INDEX(Допущения!$C$25:$G$30,MATCH($C18,Допущения!$B$25:$B$30,0),4))</f>
        <v>66666.666666666672</v>
      </c>
      <c r="I18" s="22">
        <f t="array" ref="I18">IF($D18="","",$D18*INDEX(Допущения!$C$25:$G$30,MATCH($C18,Допущения!$B$25:$B$30,0),5))</f>
        <v>93333.333333333328</v>
      </c>
      <c r="J18" s="22">
        <f t="shared" ref="J18:J23" si="2">SUM(E18:I18)</f>
        <v>220000</v>
      </c>
      <c r="K18" s="23"/>
      <c r="L18" s="24" t="s">
        <v>117</v>
      </c>
    </row>
    <row r="19" spans="2:12" x14ac:dyDescent="0.25">
      <c r="B19" s="10" t="s">
        <v>118</v>
      </c>
      <c r="C19" s="16" t="s">
        <v>90</v>
      </c>
      <c r="D19" s="17">
        <v>3600</v>
      </c>
      <c r="E19" s="22">
        <f t="array" ref="E19">IF($D19="","",$D19*INDEX(Допущения!$C$25:$G$30,MATCH($C19,Допущения!$B$25:$B$30,0),1))</f>
        <v>3600</v>
      </c>
      <c r="F19" s="22">
        <f t="array" ref="F19">IF($D19="","",$D19*INDEX(Допущения!$C$25:$G$30,MATCH($C19,Допущения!$B$25:$B$30,0),2))</f>
        <v>3888.0000000000005</v>
      </c>
      <c r="G19" s="22">
        <f t="array" ref="G19">IF($D19="","",$D19*INDEX(Допущения!$C$25:$G$30,MATCH($C19,Допущения!$B$25:$B$30,0),3))</f>
        <v>4199.04</v>
      </c>
      <c r="H19" s="22">
        <f t="array" ref="H19">IF($D19="","",$D19*INDEX(Допущения!$C$25:$G$30,MATCH($C19,Допущения!$B$25:$B$30,0),4))</f>
        <v>4534.9632000000001</v>
      </c>
      <c r="I19" s="22">
        <f t="array" ref="I19">IF($D19="","",$D19*INDEX(Допущения!$C$25:$G$30,MATCH($C19,Допущения!$B$25:$B$30,0),5))</f>
        <v>4897.7602560000014</v>
      </c>
      <c r="J19" s="22">
        <f t="shared" si="2"/>
        <v>21119.763456000001</v>
      </c>
      <c r="K19" s="23"/>
      <c r="L19" s="24" t="s">
        <v>119</v>
      </c>
    </row>
    <row r="20" spans="2:12" x14ac:dyDescent="0.25">
      <c r="B20" s="10" t="s">
        <v>120</v>
      </c>
      <c r="C20" s="16" t="s">
        <v>64</v>
      </c>
      <c r="D20" s="17">
        <v>7200</v>
      </c>
      <c r="E20" s="22">
        <f t="array" ref="E20">IF($D20="","",$D20*INDEX(Допущения!$C$25:$G$30,MATCH($C20,Допущения!$B$25:$B$30,0),1))</f>
        <v>7200</v>
      </c>
      <c r="F20" s="22">
        <f t="array" ref="F20">IF($D20="","",$D20*INDEX(Допущения!$C$25:$G$30,MATCH($C20,Допущения!$B$25:$B$30,0),2))</f>
        <v>28800</v>
      </c>
      <c r="G20" s="22">
        <f t="array" ref="G20">IF($D20="","",$D20*INDEX(Допущения!$C$25:$G$30,MATCH($C20,Допущения!$B$25:$B$30,0),3))</f>
        <v>72000</v>
      </c>
      <c r="H20" s="22">
        <f t="array" ref="H20">IF($D20="","",$D20*INDEX(Допущения!$C$25:$G$30,MATCH($C20,Допущения!$B$25:$B$30,0),4))</f>
        <v>120000.00000000001</v>
      </c>
      <c r="I20" s="22">
        <f t="array" ref="I20">IF($D20="","",$D20*INDEX(Допущения!$C$25:$G$30,MATCH($C20,Допущения!$B$25:$B$30,0),5))</f>
        <v>168000</v>
      </c>
      <c r="J20" s="22">
        <f t="shared" si="2"/>
        <v>396000</v>
      </c>
      <c r="K20" s="23"/>
      <c r="L20" s="24" t="s">
        <v>121</v>
      </c>
    </row>
    <row r="21" spans="2:12" ht="15.75" customHeight="1" x14ac:dyDescent="0.25">
      <c r="B21" s="10" t="s">
        <v>122</v>
      </c>
      <c r="C21" s="16" t="s">
        <v>90</v>
      </c>
      <c r="D21" s="17">
        <v>3000</v>
      </c>
      <c r="E21" s="22">
        <f t="array" ref="E21">IF($D21="","",$D21*INDEX(Допущения!$C$25:$G$30,MATCH($C21,Допущения!$B$25:$B$30,0),1))</f>
        <v>3000</v>
      </c>
      <c r="F21" s="22">
        <f t="array" ref="F21">IF($D21="","",$D21*INDEX(Допущения!$C$25:$G$30,MATCH($C21,Допущения!$B$25:$B$30,0),2))</f>
        <v>3240</v>
      </c>
      <c r="G21" s="22">
        <f t="array" ref="G21">IF($D21="","",$D21*INDEX(Допущения!$C$25:$G$30,MATCH($C21,Допущения!$B$25:$B$30,0),3))</f>
        <v>3499.2000000000003</v>
      </c>
      <c r="H21" s="22">
        <f t="array" ref="H21">IF($D21="","",$D21*INDEX(Допущения!$C$25:$G$30,MATCH($C21,Допущения!$B$25:$B$30,0),4))</f>
        <v>3779.1360000000004</v>
      </c>
      <c r="I21" s="22">
        <f t="array" ref="I21">IF($D21="","",$D21*INDEX(Допущения!$C$25:$G$30,MATCH($C21,Допущения!$B$25:$B$30,0),5))</f>
        <v>4081.4668800000009</v>
      </c>
      <c r="J21" s="22">
        <f t="shared" si="2"/>
        <v>17599.802880000003</v>
      </c>
      <c r="K21" s="23"/>
      <c r="L21" s="24" t="s">
        <v>123</v>
      </c>
    </row>
    <row r="22" spans="2:12" ht="15.75" customHeight="1" x14ac:dyDescent="0.25">
      <c r="B22" s="10" t="s">
        <v>124</v>
      </c>
      <c r="C22" s="16" t="s">
        <v>90</v>
      </c>
      <c r="D22" s="17">
        <v>2400</v>
      </c>
      <c r="E22" s="22">
        <f t="array" ref="E22">IF($D22="","",$D22*INDEX(Допущения!$C$25:$G$30,MATCH($C22,Допущения!$B$25:$B$30,0),1))</f>
        <v>2400</v>
      </c>
      <c r="F22" s="22">
        <f t="array" ref="F22">IF($D22="","",$D22*INDEX(Допущения!$C$25:$G$30,MATCH($C22,Допущения!$B$25:$B$30,0),2))</f>
        <v>2592</v>
      </c>
      <c r="G22" s="22">
        <f t="array" ref="G22">IF($D22="","",$D22*INDEX(Допущения!$C$25:$G$30,MATCH($C22,Допущения!$B$25:$B$30,0),3))</f>
        <v>2799.36</v>
      </c>
      <c r="H22" s="22">
        <f t="array" ref="H22">IF($D22="","",$D22*INDEX(Допущения!$C$25:$G$30,MATCH($C22,Допущения!$B$25:$B$30,0),4))</f>
        <v>3023.3088000000002</v>
      </c>
      <c r="I22" s="22">
        <f t="array" ref="I22">IF($D22="","",$D22*INDEX(Допущения!$C$25:$G$30,MATCH($C22,Допущения!$B$25:$B$30,0),5))</f>
        <v>3265.1735040000008</v>
      </c>
      <c r="J22" s="22">
        <f t="shared" si="2"/>
        <v>14079.842304000002</v>
      </c>
      <c r="K22" s="23"/>
      <c r="L22" s="24" t="s">
        <v>125</v>
      </c>
    </row>
    <row r="23" spans="2:12" ht="15.75" customHeight="1" x14ac:dyDescent="0.25">
      <c r="B23" s="10"/>
      <c r="C23" s="16" t="s">
        <v>88</v>
      </c>
      <c r="D23" s="17"/>
      <c r="E23" s="22" t="str">
        <f t="array" ref="E23">IF($D23="","",$D23*INDEX(Допущения!$C$25:$G$30,MATCH($C23,Допущения!$B$25:$B$30,0),1))</f>
        <v/>
      </c>
      <c r="F23" s="22" t="str">
        <f t="array" ref="F23">IF($D23="","",$D23*INDEX(Допущения!$C$25:$G$30,MATCH($C23,Допущения!$B$25:$B$30,0),2))</f>
        <v/>
      </c>
      <c r="G23" s="22" t="str">
        <f t="array" ref="G23">IF($D23="","",$D23*INDEX(Допущения!$C$25:$G$30,MATCH($C23,Допущения!$B$25:$B$30,0),3))</f>
        <v/>
      </c>
      <c r="H23" s="22" t="str">
        <f t="array" ref="H23">IF($D23="","",$D23*INDEX(Допущения!$C$25:$G$30,MATCH($C23,Допущения!$B$25:$B$30,0),4))</f>
        <v/>
      </c>
      <c r="I23" s="22" t="str">
        <f t="array" ref="I23">IF($D23="","",$D23*INDEX(Допущения!$C$25:$G$30,MATCH($C23,Допущения!$B$25:$B$30,0),5))</f>
        <v/>
      </c>
      <c r="J23" s="22">
        <f t="shared" si="2"/>
        <v>0</v>
      </c>
      <c r="K23" s="23"/>
      <c r="L23" s="24" t="s">
        <v>113</v>
      </c>
    </row>
    <row r="24" spans="2:12" ht="15.75" customHeight="1" x14ac:dyDescent="0.25">
      <c r="B24" s="25" t="s">
        <v>114</v>
      </c>
      <c r="C24" s="26"/>
      <c r="D24" s="26"/>
      <c r="E24" s="27">
        <f t="shared" ref="E24:J24" si="3">SUM(E18:E23)</f>
        <v>20200</v>
      </c>
      <c r="F24" s="27">
        <f t="shared" si="3"/>
        <v>54520</v>
      </c>
      <c r="G24" s="27">
        <f t="shared" si="3"/>
        <v>122497.60000000001</v>
      </c>
      <c r="H24" s="27">
        <f t="shared" si="3"/>
        <v>198004.07466666668</v>
      </c>
      <c r="I24" s="27">
        <f t="shared" si="3"/>
        <v>273577.73397333338</v>
      </c>
      <c r="J24" s="27">
        <f t="shared" si="3"/>
        <v>668799.40864000004</v>
      </c>
      <c r="K24" s="28">
        <f>IFERROR(J24/$J$51,0)</f>
        <v>1.2723977448378622E-2</v>
      </c>
      <c r="L24" s="26"/>
    </row>
    <row r="25" spans="2:12" ht="15.75" customHeight="1" x14ac:dyDescent="0.25">
      <c r="C25" s="29"/>
    </row>
    <row r="26" spans="2:12" ht="15.75" customHeight="1" x14ac:dyDescent="0.25">
      <c r="B26" s="7" t="s">
        <v>126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2:12" ht="15.75" customHeight="1" x14ac:dyDescent="0.25">
      <c r="B27" s="10" t="s">
        <v>127</v>
      </c>
      <c r="C27" s="16" t="s">
        <v>97</v>
      </c>
      <c r="D27" s="17">
        <v>225000</v>
      </c>
      <c r="E27" s="22">
        <f t="array" ref="E27">IF($D27="","",$D27*INDEX(Допущения!$C$25:$G$30,MATCH($C27,Допущения!$B$25:$B$30,0),1))</f>
        <v>225000</v>
      </c>
      <c r="F27" s="22">
        <f t="array" ref="F27">IF($D27="","",$D27*INDEX(Допущения!$C$25:$G$30,MATCH($C27,Допущения!$B$25:$B$30,0),2))</f>
        <v>1404000</v>
      </c>
      <c r="G27" s="22">
        <f t="array" ref="G27">IF($D27="","",$D27*INDEX(Допущения!$C$25:$G$30,MATCH($C27,Допущения!$B$25:$B$30,0),3))</f>
        <v>4860000</v>
      </c>
      <c r="H27" s="22">
        <f t="array" ref="H27">IF($D27="","",$D27*INDEX(Допущения!$C$25:$G$30,MATCH($C27,Допущения!$B$25:$B$30,0),4))</f>
        <v>10080000</v>
      </c>
      <c r="I27" s="22">
        <f t="array" ref="I27">IF($D27="","",$D27*INDEX(Допущения!$C$25:$G$30,MATCH($C27,Допущения!$B$25:$B$30,0),5))</f>
        <v>15659999.999999998</v>
      </c>
      <c r="J27" s="22">
        <f t="shared" ref="J27:J31" si="4">SUM(E27:I27)</f>
        <v>32229000</v>
      </c>
      <c r="K27" s="23"/>
      <c r="L27" s="24" t="s">
        <v>128</v>
      </c>
    </row>
    <row r="28" spans="2:12" ht="15.75" customHeight="1" x14ac:dyDescent="0.25">
      <c r="B28" s="10" t="s">
        <v>129</v>
      </c>
      <c r="C28" s="16" t="s">
        <v>95</v>
      </c>
      <c r="D28" s="17">
        <v>12000</v>
      </c>
      <c r="E28" s="22">
        <f t="array" ref="E28">IF($D28="","",$D28*INDEX(Допущения!$C$25:$G$30,MATCH($C28,Допущения!$B$25:$B$30,0),1))</f>
        <v>12000</v>
      </c>
      <c r="F28" s="22">
        <f t="array" ref="F28">IF($D28="","",$D28*INDEX(Допущения!$C$25:$G$30,MATCH($C28,Допущения!$B$25:$B$30,0),2))</f>
        <v>72000</v>
      </c>
      <c r="G28" s="22">
        <f t="array" ref="G28">IF($D28="","",$D28*INDEX(Допущения!$C$25:$G$30,MATCH($C28,Допущения!$B$25:$B$30,0),3))</f>
        <v>240000</v>
      </c>
      <c r="H28" s="22">
        <f t="array" ref="H28">IF($D28="","",$D28*INDEX(Допущения!$C$25:$G$30,MATCH($C28,Допущения!$B$25:$B$30,0),4))</f>
        <v>480000</v>
      </c>
      <c r="I28" s="22">
        <f t="array" ref="I28">IF($D28="","",$D28*INDEX(Допущения!$C$25:$G$30,MATCH($C28,Допущения!$B$25:$B$30,0),5))</f>
        <v>720000</v>
      </c>
      <c r="J28" s="22">
        <f t="shared" si="4"/>
        <v>1524000</v>
      </c>
      <c r="K28" s="23"/>
      <c r="L28" s="24" t="s">
        <v>130</v>
      </c>
    </row>
    <row r="29" spans="2:12" ht="15.75" customHeight="1" x14ac:dyDescent="0.25">
      <c r="B29" s="10" t="s">
        <v>131</v>
      </c>
      <c r="C29" s="16" t="s">
        <v>95</v>
      </c>
      <c r="D29" s="17">
        <v>9000</v>
      </c>
      <c r="E29" s="22">
        <f t="array" ref="E29">IF($D29="","",$D29*INDEX(Допущения!$C$25:$G$30,MATCH($C29,Допущения!$B$25:$B$30,0),1))</f>
        <v>9000</v>
      </c>
      <c r="F29" s="22">
        <f t="array" ref="F29">IF($D29="","",$D29*INDEX(Допущения!$C$25:$G$30,MATCH($C29,Допущения!$B$25:$B$30,0),2))</f>
        <v>54000</v>
      </c>
      <c r="G29" s="22">
        <f t="array" ref="G29">IF($D29="","",$D29*INDEX(Допущения!$C$25:$G$30,MATCH($C29,Допущения!$B$25:$B$30,0),3))</f>
        <v>180000</v>
      </c>
      <c r="H29" s="22">
        <f t="array" ref="H29">IF($D29="","",$D29*INDEX(Допущения!$C$25:$G$30,MATCH($C29,Допущения!$B$25:$B$30,0),4))</f>
        <v>360000</v>
      </c>
      <c r="I29" s="22">
        <f t="array" ref="I29">IF($D29="","",$D29*INDEX(Допущения!$C$25:$G$30,MATCH($C29,Допущения!$B$25:$B$30,0),5))</f>
        <v>540000</v>
      </c>
      <c r="J29" s="22">
        <f t="shared" si="4"/>
        <v>1143000</v>
      </c>
      <c r="K29" s="23"/>
      <c r="L29" s="24" t="s">
        <v>132</v>
      </c>
    </row>
    <row r="30" spans="2:12" ht="15.75" customHeight="1" x14ac:dyDescent="0.25">
      <c r="B30" s="10" t="s">
        <v>133</v>
      </c>
      <c r="C30" s="16" t="s">
        <v>95</v>
      </c>
      <c r="D30" s="17">
        <v>30000</v>
      </c>
      <c r="E30" s="22">
        <f t="array" ref="E30">IF($D30="","",$D30*INDEX(Допущения!$C$25:$G$30,MATCH($C30,Допущения!$B$25:$B$30,0),1))</f>
        <v>30000</v>
      </c>
      <c r="F30" s="22">
        <f t="array" ref="F30">IF($D30="","",$D30*INDEX(Допущения!$C$25:$G$30,MATCH($C30,Допущения!$B$25:$B$30,0),2))</f>
        <v>180000</v>
      </c>
      <c r="G30" s="22">
        <f t="array" ref="G30">IF($D30="","",$D30*INDEX(Допущения!$C$25:$G$30,MATCH($C30,Допущения!$B$25:$B$30,0),3))</f>
        <v>600000</v>
      </c>
      <c r="H30" s="22">
        <f t="array" ref="H30">IF($D30="","",$D30*INDEX(Допущения!$C$25:$G$30,MATCH($C30,Допущения!$B$25:$B$30,0),4))</f>
        <v>1200000</v>
      </c>
      <c r="I30" s="22">
        <f t="array" ref="I30">IF($D30="","",$D30*INDEX(Допущения!$C$25:$G$30,MATCH($C30,Допущения!$B$25:$B$30,0),5))</f>
        <v>1800000</v>
      </c>
      <c r="J30" s="22">
        <f t="shared" si="4"/>
        <v>3810000</v>
      </c>
      <c r="K30" s="23"/>
      <c r="L30" s="24" t="s">
        <v>134</v>
      </c>
    </row>
    <row r="31" spans="2:12" ht="15.75" customHeight="1" x14ac:dyDescent="0.25">
      <c r="B31" s="10"/>
      <c r="C31" s="16" t="s">
        <v>88</v>
      </c>
      <c r="D31" s="17"/>
      <c r="E31" s="22" t="str">
        <f t="array" ref="E31">IF($D31="","",$D31*INDEX(Допущения!$C$25:$G$30,MATCH($C31,Допущения!$B$25:$B$30,0),1))</f>
        <v/>
      </c>
      <c r="F31" s="22" t="str">
        <f t="array" ref="F31">IF($D31="","",$D31*INDEX(Допущения!$C$25:$G$30,MATCH($C31,Допущения!$B$25:$B$30,0),2))</f>
        <v/>
      </c>
      <c r="G31" s="22" t="str">
        <f t="array" ref="G31">IF($D31="","",$D31*INDEX(Допущения!$C$25:$G$30,MATCH($C31,Допущения!$B$25:$B$30,0),3))</f>
        <v/>
      </c>
      <c r="H31" s="22" t="str">
        <f t="array" ref="H31">IF($D31="","",$D31*INDEX(Допущения!$C$25:$G$30,MATCH($C31,Допущения!$B$25:$B$30,0),4))</f>
        <v/>
      </c>
      <c r="I31" s="22" t="str">
        <f t="array" ref="I31">IF($D31="","",$D31*INDEX(Допущения!$C$25:$G$30,MATCH($C31,Допущения!$B$25:$B$30,0),5))</f>
        <v/>
      </c>
      <c r="J31" s="22">
        <f t="shared" si="4"/>
        <v>0</v>
      </c>
      <c r="K31" s="23"/>
      <c r="L31" s="24" t="s">
        <v>113</v>
      </c>
    </row>
    <row r="32" spans="2:12" ht="15.75" customHeight="1" x14ac:dyDescent="0.25">
      <c r="B32" s="25" t="s">
        <v>114</v>
      </c>
      <c r="C32" s="26"/>
      <c r="D32" s="26"/>
      <c r="E32" s="27">
        <f t="shared" ref="E32:J32" si="5">SUM(E27:E31)</f>
        <v>276000</v>
      </c>
      <c r="F32" s="27">
        <f t="shared" si="5"/>
        <v>1710000</v>
      </c>
      <c r="G32" s="27">
        <f t="shared" si="5"/>
        <v>5880000</v>
      </c>
      <c r="H32" s="27">
        <f t="shared" si="5"/>
        <v>12120000</v>
      </c>
      <c r="I32" s="27">
        <f t="shared" si="5"/>
        <v>18720000</v>
      </c>
      <c r="J32" s="27">
        <f t="shared" si="5"/>
        <v>38706000</v>
      </c>
      <c r="K32" s="28">
        <f>IFERROR(J32/$J$51,0)</f>
        <v>0.73638562587611633</v>
      </c>
      <c r="L32" s="26"/>
    </row>
    <row r="33" spans="2:12" ht="15.75" customHeight="1" x14ac:dyDescent="0.25">
      <c r="C33" s="29"/>
    </row>
    <row r="34" spans="2:12" ht="15.75" customHeight="1" x14ac:dyDescent="0.25">
      <c r="B34" s="7" t="s">
        <v>135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2" ht="15.75" customHeight="1" x14ac:dyDescent="0.25">
      <c r="B35" s="10" t="s">
        <v>136</v>
      </c>
      <c r="C35" s="16" t="s">
        <v>92</v>
      </c>
      <c r="D35" s="17">
        <v>360000</v>
      </c>
      <c r="E35" s="22">
        <f t="array" ref="E35">IF($D35="","",$D35*INDEX(Допущения!$C$25:$G$30,MATCH($C35,Допущения!$B$25:$B$30,0),1))</f>
        <v>360000</v>
      </c>
      <c r="F35" s="22">
        <f t="array" ref="F35">IF($D35="","",$D35*INDEX(Допущения!$C$25:$G$30,MATCH($C35,Допущения!$B$25:$B$30,0),2))</f>
        <v>403200.00000000006</v>
      </c>
      <c r="G35" s="22">
        <f t="array" ref="G35">IF($D35="","",$D35*INDEX(Допущения!$C$25:$G$30,MATCH($C35,Допущения!$B$25:$B$30,0),3))</f>
        <v>451584.00000000006</v>
      </c>
      <c r="H35" s="22">
        <f t="array" ref="H35">IF($D35="","",$D35*INDEX(Допущения!$C$25:$G$30,MATCH($C35,Допущения!$B$25:$B$30,0),4))</f>
        <v>505774.08000000013</v>
      </c>
      <c r="I35" s="22">
        <f t="array" ref="I35">IF($D35="","",$D35*INDEX(Допущения!$C$25:$G$30,MATCH($C35,Допущения!$B$25:$B$30,0),5))</f>
        <v>566466.96960000019</v>
      </c>
      <c r="J35" s="22">
        <f t="shared" ref="J35:J39" si="6">SUM(E35:I35)</f>
        <v>2287025.0496000005</v>
      </c>
      <c r="K35" s="23"/>
      <c r="L35" s="24" t="s">
        <v>137</v>
      </c>
    </row>
    <row r="36" spans="2:12" ht="15.75" customHeight="1" x14ac:dyDescent="0.25">
      <c r="B36" s="10" t="s">
        <v>138</v>
      </c>
      <c r="C36" s="16" t="s">
        <v>92</v>
      </c>
      <c r="D36" s="17">
        <v>0</v>
      </c>
      <c r="E36" s="22">
        <f t="array" ref="E36">IF($D36="","",$D36*INDEX(Допущения!$C$25:$G$30,MATCH($C36,Допущения!$B$25:$B$30,0),1))</f>
        <v>0</v>
      </c>
      <c r="F36" s="22">
        <f t="array" ref="F36">IF($D36="","",$D36*INDEX(Допущения!$C$25:$G$30,MATCH($C36,Допущения!$B$25:$B$30,0),2))</f>
        <v>0</v>
      </c>
      <c r="G36" s="22">
        <f t="array" ref="G36">IF($D36="","",$D36*INDEX(Допущения!$C$25:$G$30,MATCH($C36,Допущения!$B$25:$B$30,0),3))</f>
        <v>0</v>
      </c>
      <c r="H36" s="22">
        <f t="array" ref="H36">IF($D36="","",$D36*INDEX(Допущения!$C$25:$G$30,MATCH($C36,Допущения!$B$25:$B$30,0),4))</f>
        <v>0</v>
      </c>
      <c r="I36" s="22">
        <f t="array" ref="I36">IF($D36="","",$D36*INDEX(Допущения!$C$25:$G$30,MATCH($C36,Допущения!$B$25:$B$30,0),5))</f>
        <v>0</v>
      </c>
      <c r="J36" s="22">
        <f t="shared" si="6"/>
        <v>0</v>
      </c>
      <c r="K36" s="23"/>
      <c r="L36" s="24" t="s">
        <v>139</v>
      </c>
    </row>
    <row r="37" spans="2:12" ht="15.75" customHeight="1" x14ac:dyDescent="0.25">
      <c r="B37" s="10" t="s">
        <v>140</v>
      </c>
      <c r="C37" s="16" t="s">
        <v>92</v>
      </c>
      <c r="D37" s="17">
        <v>24000</v>
      </c>
      <c r="E37" s="22">
        <f t="array" ref="E37">IF($D37="","",$D37*INDEX(Допущения!$C$25:$G$30,MATCH($C37,Допущения!$B$25:$B$30,0),1))</f>
        <v>24000</v>
      </c>
      <c r="F37" s="22">
        <f t="array" ref="F37">IF($D37="","",$D37*INDEX(Допущения!$C$25:$G$30,MATCH($C37,Допущения!$B$25:$B$30,0),2))</f>
        <v>26880.000000000004</v>
      </c>
      <c r="G37" s="22">
        <f t="array" ref="G37">IF($D37="","",$D37*INDEX(Допущения!$C$25:$G$30,MATCH($C37,Допущения!$B$25:$B$30,0),3))</f>
        <v>30105.600000000006</v>
      </c>
      <c r="H37" s="22">
        <f t="array" ref="H37">IF($D37="","",$D37*INDEX(Допущения!$C$25:$G$30,MATCH($C37,Допущения!$B$25:$B$30,0),4))</f>
        <v>33718.272000000012</v>
      </c>
      <c r="I37" s="22">
        <f t="array" ref="I37">IF($D37="","",$D37*INDEX(Допущения!$C$25:$G$30,MATCH($C37,Допущения!$B$25:$B$30,0),5))</f>
        <v>37764.464640000013</v>
      </c>
      <c r="J37" s="22">
        <f t="shared" si="6"/>
        <v>152468.33664000002</v>
      </c>
      <c r="K37" s="23"/>
      <c r="L37" s="24" t="s">
        <v>141</v>
      </c>
    </row>
    <row r="38" spans="2:12" ht="15.75" customHeight="1" x14ac:dyDescent="0.25">
      <c r="B38" s="10" t="s">
        <v>142</v>
      </c>
      <c r="C38" s="16" t="s">
        <v>92</v>
      </c>
      <c r="D38" s="17">
        <v>150000</v>
      </c>
      <c r="E38" s="22">
        <f t="array" ref="E38">IF($D38="","",$D38*INDEX(Допущения!$C$25:$G$30,MATCH($C38,Допущения!$B$25:$B$30,0),1))</f>
        <v>150000</v>
      </c>
      <c r="F38" s="22">
        <f t="array" ref="F38">IF($D38="","",$D38*INDEX(Допущения!$C$25:$G$30,MATCH($C38,Допущения!$B$25:$B$30,0),2))</f>
        <v>168000.00000000003</v>
      </c>
      <c r="G38" s="22">
        <f t="array" ref="G38">IF($D38="","",$D38*INDEX(Допущения!$C$25:$G$30,MATCH($C38,Допущения!$B$25:$B$30,0),3))</f>
        <v>188160.00000000003</v>
      </c>
      <c r="H38" s="22">
        <f t="array" ref="H38">IF($D38="","",$D38*INDEX(Допущения!$C$25:$G$30,MATCH($C38,Допущения!$B$25:$B$30,0),4))</f>
        <v>210739.20000000007</v>
      </c>
      <c r="I38" s="22">
        <f t="array" ref="I38">IF($D38="","",$D38*INDEX(Допущения!$C$25:$G$30,MATCH($C38,Допущения!$B$25:$B$30,0),5))</f>
        <v>236027.9040000001</v>
      </c>
      <c r="J38" s="22">
        <f t="shared" si="6"/>
        <v>952927.10400000017</v>
      </c>
      <c r="K38" s="23"/>
      <c r="L38" s="24" t="s">
        <v>143</v>
      </c>
    </row>
    <row r="39" spans="2:12" ht="15.75" customHeight="1" x14ac:dyDescent="0.25">
      <c r="B39" s="10"/>
      <c r="C39" s="16" t="s">
        <v>88</v>
      </c>
      <c r="D39" s="17"/>
      <c r="E39" s="22" t="str">
        <f t="array" ref="E39">IF($D39="","",$D39*INDEX(Допущения!$C$25:$G$30,MATCH($C39,Допущения!$B$25:$B$30,0),1))</f>
        <v/>
      </c>
      <c r="F39" s="22" t="str">
        <f t="array" ref="F39">IF($D39="","",$D39*INDEX(Допущения!$C$25:$G$30,MATCH($C39,Допущения!$B$25:$B$30,0),2))</f>
        <v/>
      </c>
      <c r="G39" s="22" t="str">
        <f t="array" ref="G39">IF($D39="","",$D39*INDEX(Допущения!$C$25:$G$30,MATCH($C39,Допущения!$B$25:$B$30,0),3))</f>
        <v/>
      </c>
      <c r="H39" s="22" t="str">
        <f t="array" ref="H39">IF($D39="","",$D39*INDEX(Допущения!$C$25:$G$30,MATCH($C39,Допущения!$B$25:$B$30,0),4))</f>
        <v/>
      </c>
      <c r="I39" s="22" t="str">
        <f t="array" ref="I39">IF($D39="","",$D39*INDEX(Допущения!$C$25:$G$30,MATCH($C39,Допущения!$B$25:$B$30,0),5))</f>
        <v/>
      </c>
      <c r="J39" s="22">
        <f t="shared" si="6"/>
        <v>0</v>
      </c>
      <c r="K39" s="23"/>
      <c r="L39" s="24" t="s">
        <v>113</v>
      </c>
    </row>
    <row r="40" spans="2:12" ht="15.75" customHeight="1" x14ac:dyDescent="0.25">
      <c r="B40" s="25" t="s">
        <v>114</v>
      </c>
      <c r="C40" s="26"/>
      <c r="D40" s="26"/>
      <c r="E40" s="27">
        <f t="shared" ref="E40:J40" si="7">SUM(E35:E39)</f>
        <v>534000</v>
      </c>
      <c r="F40" s="27">
        <f t="shared" si="7"/>
        <v>598080.00000000012</v>
      </c>
      <c r="G40" s="27">
        <f t="shared" si="7"/>
        <v>669849.60000000009</v>
      </c>
      <c r="H40" s="27">
        <f t="shared" si="7"/>
        <v>750231.55200000026</v>
      </c>
      <c r="I40" s="27">
        <f t="shared" si="7"/>
        <v>840259.3382400003</v>
      </c>
      <c r="J40" s="27">
        <f t="shared" si="7"/>
        <v>3392420.4902400007</v>
      </c>
      <c r="K40" s="28">
        <f>IFERROR(J40/$J$51,0)</f>
        <v>6.4541148295880341E-2</v>
      </c>
      <c r="L40" s="26"/>
    </row>
    <row r="41" spans="2:12" ht="15.75" customHeight="1" x14ac:dyDescent="0.25">
      <c r="C41" s="29"/>
    </row>
    <row r="42" spans="2:12" ht="15.75" customHeight="1" x14ac:dyDescent="0.25">
      <c r="B42" s="7" t="s">
        <v>144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2:12" ht="15.75" customHeight="1" x14ac:dyDescent="0.25">
      <c r="B43" s="10" t="s">
        <v>145</v>
      </c>
      <c r="C43" s="16" t="s">
        <v>88</v>
      </c>
      <c r="D43" s="17">
        <v>25000</v>
      </c>
      <c r="E43" s="22">
        <f t="array" ref="E43">IF($D43="","",$D43*INDEX(Допущения!$C$25:$G$30,MATCH($C43,Допущения!$B$25:$B$30,0),1))</f>
        <v>25000</v>
      </c>
      <c r="F43" s="22">
        <f t="array" ref="F43">IF($D43="","",$D43*INDEX(Допущения!$C$25:$G$30,MATCH($C43,Допущения!$B$25:$B$30,0),2))</f>
        <v>25000</v>
      </c>
      <c r="G43" s="22">
        <f t="array" ref="G43">IF($D43="","",$D43*INDEX(Допущения!$C$25:$G$30,MATCH($C43,Допущения!$B$25:$B$30,0),3))</f>
        <v>25000</v>
      </c>
      <c r="H43" s="22">
        <f t="array" ref="H43">IF($D43="","",$D43*INDEX(Допущения!$C$25:$G$30,MATCH($C43,Допущения!$B$25:$B$30,0),4))</f>
        <v>25000</v>
      </c>
      <c r="I43" s="22">
        <f t="array" ref="I43">IF($D43="","",$D43*INDEX(Допущения!$C$25:$G$30,MATCH($C43,Допущения!$B$25:$B$30,0),5))</f>
        <v>25000</v>
      </c>
      <c r="J43" s="22">
        <f t="shared" ref="J43:J47" si="8">SUM(E43:I43)</f>
        <v>125000</v>
      </c>
      <c r="K43" s="23"/>
      <c r="L43" s="24" t="s">
        <v>146</v>
      </c>
    </row>
    <row r="44" spans="2:12" ht="15.75" customHeight="1" x14ac:dyDescent="0.25">
      <c r="B44" s="10" t="s">
        <v>147</v>
      </c>
      <c r="C44" s="16" t="s">
        <v>90</v>
      </c>
      <c r="D44" s="17">
        <v>15000</v>
      </c>
      <c r="E44" s="22">
        <f t="array" ref="E44">IF($D44="","",$D44*INDEX(Допущения!$C$25:$G$30,MATCH($C44,Допущения!$B$25:$B$30,0),1))</f>
        <v>15000</v>
      </c>
      <c r="F44" s="22">
        <f t="array" ref="F44">IF($D44="","",$D44*INDEX(Допущения!$C$25:$G$30,MATCH($C44,Допущения!$B$25:$B$30,0),2))</f>
        <v>16200.000000000002</v>
      </c>
      <c r="G44" s="22">
        <f t="array" ref="G44">IF($D44="","",$D44*INDEX(Допущения!$C$25:$G$30,MATCH($C44,Допущения!$B$25:$B$30,0),3))</f>
        <v>17496</v>
      </c>
      <c r="H44" s="22">
        <f t="array" ref="H44">IF($D44="","",$D44*INDEX(Допущения!$C$25:$G$30,MATCH($C44,Допущения!$B$25:$B$30,0),4))</f>
        <v>18895.680000000004</v>
      </c>
      <c r="I44" s="22">
        <f t="array" ref="I44">IF($D44="","",$D44*INDEX(Допущения!$C$25:$G$30,MATCH($C44,Допущения!$B$25:$B$30,0),5))</f>
        <v>20407.334400000003</v>
      </c>
      <c r="J44" s="22">
        <f t="shared" si="8"/>
        <v>87999.014400000015</v>
      </c>
      <c r="K44" s="23"/>
      <c r="L44" s="24" t="s">
        <v>148</v>
      </c>
    </row>
    <row r="45" spans="2:12" ht="15.75" customHeight="1" x14ac:dyDescent="0.25">
      <c r="B45" s="10" t="s">
        <v>149</v>
      </c>
      <c r="C45" s="16" t="s">
        <v>88</v>
      </c>
      <c r="D45" s="17">
        <v>20000</v>
      </c>
      <c r="E45" s="22">
        <f t="array" ref="E45">IF($D45="","",$D45*INDEX(Допущения!$C$25:$G$30,MATCH($C45,Допущения!$B$25:$B$30,0),1))</f>
        <v>20000</v>
      </c>
      <c r="F45" s="22">
        <f t="array" ref="F45">IF($D45="","",$D45*INDEX(Допущения!$C$25:$G$30,MATCH($C45,Допущения!$B$25:$B$30,0),2))</f>
        <v>20000</v>
      </c>
      <c r="G45" s="22">
        <f t="array" ref="G45">IF($D45="","",$D45*INDEX(Допущения!$C$25:$G$30,MATCH($C45,Допущения!$B$25:$B$30,0),3))</f>
        <v>20000</v>
      </c>
      <c r="H45" s="22">
        <f t="array" ref="H45">IF($D45="","",$D45*INDEX(Допущения!$C$25:$G$30,MATCH($C45,Допущения!$B$25:$B$30,0),4))</f>
        <v>20000</v>
      </c>
      <c r="I45" s="22">
        <f t="array" ref="I45">IF($D45="","",$D45*INDEX(Допущения!$C$25:$G$30,MATCH($C45,Допущения!$B$25:$B$30,0),5))</f>
        <v>20000</v>
      </c>
      <c r="J45" s="22">
        <f t="shared" si="8"/>
        <v>100000</v>
      </c>
      <c r="K45" s="23"/>
      <c r="L45" s="24" t="s">
        <v>150</v>
      </c>
    </row>
    <row r="46" spans="2:12" ht="15.75" customHeight="1" x14ac:dyDescent="0.25">
      <c r="B46" s="10" t="s">
        <v>151</v>
      </c>
      <c r="C46" s="16" t="s">
        <v>92</v>
      </c>
      <c r="D46" s="17">
        <v>30000</v>
      </c>
      <c r="E46" s="22">
        <f t="array" ref="E46">IF($D46="","",$D46*INDEX(Допущения!$C$25:$G$30,MATCH($C46,Допущения!$B$25:$B$30,0),1))</f>
        <v>30000</v>
      </c>
      <c r="F46" s="22">
        <f t="array" ref="F46">IF($D46="","",$D46*INDEX(Допущения!$C$25:$G$30,MATCH($C46,Допущения!$B$25:$B$30,0),2))</f>
        <v>33600</v>
      </c>
      <c r="G46" s="22">
        <f t="array" ref="G46">IF($D46="","",$D46*INDEX(Допущения!$C$25:$G$30,MATCH($C46,Допущения!$B$25:$B$30,0),3))</f>
        <v>37632.000000000007</v>
      </c>
      <c r="H46" s="22">
        <f t="array" ref="H46">IF($D46="","",$D46*INDEX(Допущения!$C$25:$G$30,MATCH($C46,Допущения!$B$25:$B$30,0),4))</f>
        <v>42147.840000000011</v>
      </c>
      <c r="I46" s="22">
        <f t="array" ref="I46">IF($D46="","",$D46*INDEX(Допущения!$C$25:$G$30,MATCH($C46,Допущения!$B$25:$B$30,0),5))</f>
        <v>47205.580800000018</v>
      </c>
      <c r="J46" s="22">
        <f t="shared" si="8"/>
        <v>190585.42080000005</v>
      </c>
      <c r="K46" s="23"/>
      <c r="L46" s="24" t="s">
        <v>152</v>
      </c>
    </row>
    <row r="47" spans="2:12" ht="15.75" customHeight="1" x14ac:dyDescent="0.25">
      <c r="B47" s="10"/>
      <c r="C47" s="16" t="s">
        <v>88</v>
      </c>
      <c r="D47" s="17"/>
      <c r="E47" s="22" t="str">
        <f t="array" ref="E47">IF($D47="","",$D47*INDEX(Допущения!$C$25:$G$30,MATCH($C47,Допущения!$B$25:$B$30,0),1))</f>
        <v/>
      </c>
      <c r="F47" s="22" t="str">
        <f t="array" ref="F47">IF($D47="","",$D47*INDEX(Допущения!$C$25:$G$30,MATCH($C47,Допущения!$B$25:$B$30,0),2))</f>
        <v/>
      </c>
      <c r="G47" s="22" t="str">
        <f t="array" ref="G47">IF($D47="","",$D47*INDEX(Допущения!$C$25:$G$30,MATCH($C47,Допущения!$B$25:$B$30,0),3))</f>
        <v/>
      </c>
      <c r="H47" s="22" t="str">
        <f t="array" ref="H47">IF($D47="","",$D47*INDEX(Допущения!$C$25:$G$30,MATCH($C47,Допущения!$B$25:$B$30,0),4))</f>
        <v/>
      </c>
      <c r="I47" s="22" t="str">
        <f t="array" ref="I47">IF($D47="","",$D47*INDEX(Допущения!$C$25:$G$30,MATCH($C47,Допущения!$B$25:$B$30,0),5))</f>
        <v/>
      </c>
      <c r="J47" s="22">
        <f t="shared" si="8"/>
        <v>0</v>
      </c>
      <c r="K47" s="23"/>
      <c r="L47" s="24" t="s">
        <v>113</v>
      </c>
    </row>
    <row r="48" spans="2:12" ht="15.75" customHeight="1" x14ac:dyDescent="0.25">
      <c r="B48" s="25" t="s">
        <v>114</v>
      </c>
      <c r="C48" s="26"/>
      <c r="D48" s="26"/>
      <c r="E48" s="27">
        <f t="shared" ref="E48:J48" si="9">SUM(E43:E47)</f>
        <v>90000</v>
      </c>
      <c r="F48" s="27">
        <f t="shared" si="9"/>
        <v>94800</v>
      </c>
      <c r="G48" s="27">
        <f t="shared" si="9"/>
        <v>100128</v>
      </c>
      <c r="H48" s="27">
        <f t="shared" si="9"/>
        <v>106043.52000000002</v>
      </c>
      <c r="I48" s="27">
        <f t="shared" si="9"/>
        <v>112612.91520000002</v>
      </c>
      <c r="J48" s="27">
        <f t="shared" si="9"/>
        <v>503584.43520000007</v>
      </c>
      <c r="K48" s="28">
        <f>IFERROR(J48/$J$51,0)</f>
        <v>9.5807456078184933E-3</v>
      </c>
      <c r="L48" s="26"/>
    </row>
    <row r="49" spans="2:12" ht="15.75" customHeight="1" x14ac:dyDescent="0.25">
      <c r="C49" s="29"/>
    </row>
    <row r="50" spans="2:12" ht="15.75" customHeight="1" x14ac:dyDescent="0.25">
      <c r="B50" s="14" t="s">
        <v>153</v>
      </c>
      <c r="C50" s="29"/>
      <c r="E50" s="30">
        <f>(E15+E24+E32+E40+E48)*Допущения!$C$17</f>
        <v>146280</v>
      </c>
      <c r="F50" s="30">
        <f>(F15+F24+F32+F40+F48)*Допущения!$C$17</f>
        <v>396354</v>
      </c>
      <c r="G50" s="30">
        <f>(G15+G24+G32+G40+G48)*Допущения!$C$17</f>
        <v>1082470.8</v>
      </c>
      <c r="H50" s="30">
        <f>(H15+H24+H32+H40+H48)*Допущения!$C$17</f>
        <v>2085909.3536</v>
      </c>
      <c r="I50" s="30">
        <f>(I15+I24+I32+I40+I48)*Допущения!$C$17</f>
        <v>3144916.3782399995</v>
      </c>
      <c r="J50" s="22">
        <f t="shared" ref="J50:J51" si="10">SUM(E50:I50)</f>
        <v>6855930.5318399994</v>
      </c>
      <c r="L50" s="6" t="s">
        <v>154</v>
      </c>
    </row>
    <row r="51" spans="2:12" ht="15.75" customHeight="1" x14ac:dyDescent="0.25">
      <c r="B51" s="25" t="s">
        <v>155</v>
      </c>
      <c r="C51" s="29"/>
      <c r="E51" s="27">
        <f t="shared" ref="E51:I51" si="11">E15+E24+E32+E40+E48+E50</f>
        <v>1121480</v>
      </c>
      <c r="F51" s="27">
        <f t="shared" si="11"/>
        <v>3038714</v>
      </c>
      <c r="G51" s="27">
        <f t="shared" si="11"/>
        <v>8298942.7999999998</v>
      </c>
      <c r="H51" s="27">
        <f t="shared" si="11"/>
        <v>15991971.710933335</v>
      </c>
      <c r="I51" s="27">
        <f t="shared" si="11"/>
        <v>24111025.566506665</v>
      </c>
      <c r="J51" s="27">
        <f t="shared" si="10"/>
        <v>52562134.077440001</v>
      </c>
    </row>
    <row r="52" spans="2:12" ht="15.75" customHeight="1" x14ac:dyDescent="0.25">
      <c r="B52" s="7" t="s">
        <v>156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2:12" ht="15.75" customHeight="1" x14ac:dyDescent="0.25">
      <c r="B53" s="10" t="s">
        <v>157</v>
      </c>
      <c r="E53" s="30">
        <f>(1-Допущения!$C$20)*525600*Допущения!$C$19*Допущения!$C$21</f>
        <v>630719.9999999305</v>
      </c>
      <c r="F53" s="30">
        <f>(1-Допущения!$C$20)*525600*Допущения!$C$19*Допущения!$C$21</f>
        <v>630719.9999999305</v>
      </c>
      <c r="G53" s="30">
        <f>(1-Допущения!$C$20)*525600*Допущения!$C$19*Допущения!$C$21</f>
        <v>630719.9999999305</v>
      </c>
      <c r="H53" s="30">
        <f>(1-Допущения!$C$20)*525600*Допущения!$C$19*Допущения!$C$21</f>
        <v>630719.9999999305</v>
      </c>
      <c r="I53" s="30">
        <f>(1-Допущения!$C$20)*525600*Допущения!$C$19*Допущения!$C$21</f>
        <v>630719.9999999305</v>
      </c>
      <c r="J53" s="22">
        <f t="shared" ref="J53:J54" si="12">SUM(E53:I53)</f>
        <v>3153599.9999996526</v>
      </c>
      <c r="L53" s="12" t="s">
        <v>158</v>
      </c>
    </row>
    <row r="54" spans="2:12" ht="15.75" customHeight="1" x14ac:dyDescent="0.25">
      <c r="B54" s="25" t="s">
        <v>159</v>
      </c>
      <c r="E54" s="27">
        <f t="shared" ref="E54:I54" si="13">E51+E53</f>
        <v>1752199.9999999306</v>
      </c>
      <c r="F54" s="27">
        <f t="shared" si="13"/>
        <v>3669433.9999999306</v>
      </c>
      <c r="G54" s="27">
        <f t="shared" si="13"/>
        <v>8929662.79999993</v>
      </c>
      <c r="H54" s="27">
        <f t="shared" si="13"/>
        <v>16622691.710933266</v>
      </c>
      <c r="I54" s="27">
        <f t="shared" si="13"/>
        <v>24741745.566506594</v>
      </c>
      <c r="J54" s="27">
        <f t="shared" si="12"/>
        <v>55715734.077439651</v>
      </c>
    </row>
    <row r="55" spans="2:12" ht="15.75" customHeight="1" x14ac:dyDescent="0.25">
      <c r="B55" s="10" t="s">
        <v>160</v>
      </c>
      <c r="E55" s="31">
        <f>1/(1+Допущения!$C$16)^0</f>
        <v>1</v>
      </c>
      <c r="F55" s="31">
        <f>1/(1+Допущения!$C$16)^1</f>
        <v>0.83333333333333337</v>
      </c>
      <c r="G55" s="31">
        <f>1/(1+Допущения!$C$16)^2</f>
        <v>0.69444444444444442</v>
      </c>
      <c r="H55" s="31">
        <f>1/(1+Допущения!$C$16)^3</f>
        <v>0.57870370370370372</v>
      </c>
      <c r="I55" s="31">
        <f>1/(1+Допущения!$C$16)^4</f>
        <v>0.48225308641975312</v>
      </c>
    </row>
    <row r="56" spans="2:12" ht="15.75" customHeight="1" x14ac:dyDescent="0.25">
      <c r="B56" s="25" t="s">
        <v>161</v>
      </c>
      <c r="E56" s="27">
        <f t="shared" ref="E56:I56" si="14">E54*E55</f>
        <v>1752199.9999999306</v>
      </c>
      <c r="F56" s="27">
        <f t="shared" si="14"/>
        <v>3057861.6666666088</v>
      </c>
      <c r="G56" s="27">
        <f t="shared" si="14"/>
        <v>6201154.7222221736</v>
      </c>
      <c r="H56" s="27">
        <f t="shared" si="14"/>
        <v>9619613.2586419359</v>
      </c>
      <c r="I56" s="27">
        <f t="shared" si="14"/>
        <v>11931783.162860049</v>
      </c>
      <c r="J56" s="27">
        <f>SUM(E56:I56)</f>
        <v>32562612.810390696</v>
      </c>
    </row>
    <row r="57" spans="2:12" ht="15.75" customHeight="1" x14ac:dyDescent="0.25"/>
    <row r="58" spans="2:12" ht="15.75" customHeight="1" x14ac:dyDescent="0.25">
      <c r="B58" s="7" t="s">
        <v>162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2:12" ht="15.75" customHeight="1" x14ac:dyDescent="0.25">
      <c r="B59" s="14" t="s">
        <v>163</v>
      </c>
      <c r="E59" s="65">
        <f>J51</f>
        <v>52562134.077440001</v>
      </c>
      <c r="F59" s="66"/>
      <c r="L59" s="12" t="s">
        <v>164</v>
      </c>
    </row>
    <row r="60" spans="2:12" ht="15.75" customHeight="1" x14ac:dyDescent="0.25">
      <c r="B60" s="14" t="s">
        <v>165</v>
      </c>
      <c r="E60" s="65">
        <f>J54</f>
        <v>55715734.077439651</v>
      </c>
      <c r="F60" s="66"/>
      <c r="L60" s="12" t="s">
        <v>166</v>
      </c>
    </row>
    <row r="61" spans="2:12" ht="15.75" customHeight="1" x14ac:dyDescent="0.25">
      <c r="B61" s="14" t="s">
        <v>167</v>
      </c>
      <c r="E61" s="65">
        <f>J56</f>
        <v>32562612.810390696</v>
      </c>
      <c r="F61" s="66"/>
      <c r="L61" s="12" t="s">
        <v>168</v>
      </c>
    </row>
    <row r="62" spans="2:12" ht="15.75" customHeight="1" x14ac:dyDescent="0.25">
      <c r="B62" s="14" t="s">
        <v>169</v>
      </c>
      <c r="E62" s="65">
        <f>J51/5</f>
        <v>10512426.815487999</v>
      </c>
      <c r="F62" s="66"/>
      <c r="L62" s="12" t="s">
        <v>170</v>
      </c>
    </row>
    <row r="63" spans="2:12" ht="15.75" customHeight="1" x14ac:dyDescent="0.25">
      <c r="B63" s="14" t="s">
        <v>171</v>
      </c>
      <c r="E63" s="65">
        <f>E15/12</f>
        <v>4583.333333333333</v>
      </c>
      <c r="F63" s="66"/>
      <c r="L63" s="12" t="s">
        <v>172</v>
      </c>
    </row>
    <row r="64" spans="2:12" ht="15.75" customHeight="1" x14ac:dyDescent="0.25">
      <c r="B64" s="14" t="s">
        <v>173</v>
      </c>
      <c r="E64" s="67" t="str">
        <f>IF(E15/12&lt;=Допущения!$C$18,"В бюджете CFO","ПРЕВЫШЕНИЕ бюджета")</f>
        <v>В бюджете CFO</v>
      </c>
      <c r="F64" s="66"/>
      <c r="L64" s="12" t="s">
        <v>174</v>
      </c>
    </row>
    <row r="65" spans="2:12" ht="15.75" customHeight="1" x14ac:dyDescent="0.25">
      <c r="B65" s="14" t="s">
        <v>175</v>
      </c>
      <c r="E65" s="68">
        <f>IFERROR(J51/SUM(Допущения!$C$8:$G$8),0)</f>
        <v>1.3795835715863518</v>
      </c>
      <c r="F65" s="66"/>
      <c r="L65" s="12" t="s">
        <v>176</v>
      </c>
    </row>
    <row r="66" spans="2:12" ht="15.75" customHeight="1" x14ac:dyDescent="0.25">
      <c r="B66" s="14" t="s">
        <v>177</v>
      </c>
      <c r="E66" s="68">
        <f>IFERROR(I51/Допущения!$G$7,0)</f>
        <v>6.8888644475733329</v>
      </c>
      <c r="F66" s="66"/>
      <c r="L66" s="12" t="s">
        <v>178</v>
      </c>
    </row>
    <row r="67" spans="2:12" ht="15.75" customHeight="1" x14ac:dyDescent="0.25">
      <c r="B67" s="14" t="s">
        <v>179</v>
      </c>
      <c r="E67" s="69">
        <f>IFERROR(J51/SUM(Допущения!$C$10:$G$10),0)</f>
        <v>4.8926867799906917E-2</v>
      </c>
      <c r="F67" s="66"/>
      <c r="L67" s="12" t="s">
        <v>180</v>
      </c>
    </row>
    <row r="68" spans="2:12" ht="15.75" customHeight="1" x14ac:dyDescent="0.25">
      <c r="B68" s="14" t="s">
        <v>181</v>
      </c>
      <c r="E68" s="70">
        <f>IFERROR(J15/J51,0)</f>
        <v>4.6333720163110513E-2</v>
      </c>
      <c r="F68" s="66"/>
      <c r="L68" s="12" t="s">
        <v>182</v>
      </c>
    </row>
    <row r="69" spans="2:12" ht="15.75" customHeight="1" x14ac:dyDescent="0.25">
      <c r="B69" s="14" t="s">
        <v>183</v>
      </c>
      <c r="E69" s="70">
        <f>IFERROR(J32/J51,0)</f>
        <v>0.73638562587611633</v>
      </c>
      <c r="F69" s="66"/>
      <c r="L69" s="12" t="s">
        <v>184</v>
      </c>
    </row>
    <row r="70" spans="2:12" ht="15.75" customHeight="1" x14ac:dyDescent="0.25">
      <c r="B70" s="14" t="s">
        <v>185</v>
      </c>
      <c r="E70" s="70">
        <f>IFERROR(J40/J51,0)</f>
        <v>6.4541148295880341E-2</v>
      </c>
      <c r="F70" s="66"/>
      <c r="L70" s="12" t="s">
        <v>186</v>
      </c>
    </row>
    <row r="71" spans="2:12" ht="15.75" customHeight="1" x14ac:dyDescent="0.25"/>
    <row r="72" spans="2:12" ht="15.75" customHeight="1" x14ac:dyDescent="0.25">
      <c r="B72" s="56" t="s">
        <v>187</v>
      </c>
      <c r="C72" s="54"/>
      <c r="D72" s="54"/>
      <c r="E72" s="54"/>
      <c r="F72" s="54"/>
      <c r="G72" s="54"/>
      <c r="H72" s="54"/>
      <c r="I72" s="54"/>
      <c r="J72" s="54"/>
      <c r="K72" s="54"/>
      <c r="L72" s="54"/>
    </row>
    <row r="73" spans="2:12" ht="15" customHeight="1" x14ac:dyDescent="0.25">
      <c r="B73" s="57" t="s">
        <v>188</v>
      </c>
      <c r="C73" s="58"/>
      <c r="D73" s="58"/>
      <c r="E73" s="58"/>
      <c r="F73" s="58"/>
      <c r="G73" s="58"/>
      <c r="H73" s="58"/>
      <c r="I73" s="58"/>
      <c r="J73" s="58"/>
      <c r="K73" s="58"/>
      <c r="L73" s="59"/>
    </row>
    <row r="74" spans="2:12" ht="15.75" customHeight="1" x14ac:dyDescent="0.25">
      <c r="B74" s="60"/>
      <c r="C74" s="54"/>
      <c r="D74" s="54"/>
      <c r="E74" s="54"/>
      <c r="F74" s="54"/>
      <c r="G74" s="54"/>
      <c r="H74" s="54"/>
      <c r="I74" s="54"/>
      <c r="J74" s="54"/>
      <c r="K74" s="54"/>
      <c r="L74" s="61"/>
    </row>
    <row r="75" spans="2:12" ht="15.75" customHeight="1" x14ac:dyDescent="0.25"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64"/>
    </row>
    <row r="76" spans="2:12" ht="15.75" customHeight="1" x14ac:dyDescent="0.25"/>
    <row r="77" spans="2:12" ht="15.75" customHeight="1" x14ac:dyDescent="0.25"/>
    <row r="78" spans="2:12" ht="15.75" customHeight="1" x14ac:dyDescent="0.25"/>
    <row r="79" spans="2:12" ht="15.75" customHeight="1" x14ac:dyDescent="0.25"/>
    <row r="80" spans="2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B72:L72"/>
    <mergeCell ref="B73:L75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</mergeCells>
  <dataValidations count="1">
    <dataValidation type="list" allowBlank="1" sqref="C6:C51">
      <formula1>"фикс,инфляция,ФОТ,пользователи,заказы,GMV"</formula1>
    </dataValidation>
  </dataValidation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000"/>
  <sheetViews>
    <sheetView showGridLines="0" workbookViewId="0">
      <pane xSplit="2" ySplit="5" topLeftCell="C45" activePane="bottomRight" state="frozen"/>
      <selection pane="topRight" activeCell="C1" sqref="C1"/>
      <selection pane="bottomLeft" activeCell="A6" sqref="A6"/>
      <selection pane="bottomRight" activeCell="D38" sqref="D38"/>
    </sheetView>
  </sheetViews>
  <sheetFormatPr defaultColWidth="14.42578125" defaultRowHeight="15" customHeight="1" x14ac:dyDescent="0.25"/>
  <cols>
    <col min="1" max="1" width="3" style="32" customWidth="1"/>
    <col min="2" max="2" width="53.7109375" style="32" customWidth="1"/>
    <col min="3" max="3" width="16" style="32" customWidth="1"/>
    <col min="4" max="4" width="15" style="32" customWidth="1"/>
    <col min="5" max="10" width="14" style="32" customWidth="1"/>
    <col min="11" max="11" width="10" style="32" customWidth="1"/>
    <col min="12" max="12" width="46" style="32" customWidth="1"/>
    <col min="13" max="26" width="8.7109375" style="32" customWidth="1"/>
    <col min="27" max="16384" width="14.42578125" style="32"/>
  </cols>
  <sheetData>
    <row r="2" spans="2:12" ht="18" x14ac:dyDescent="0.25">
      <c r="B2" s="52" t="s">
        <v>1</v>
      </c>
    </row>
    <row r="3" spans="2:12" x14ac:dyDescent="0.25">
      <c r="B3" s="44" t="s">
        <v>5</v>
      </c>
    </row>
    <row r="5" spans="2:12" ht="31.5" customHeight="1" x14ac:dyDescent="0.25">
      <c r="B5" s="51" t="s">
        <v>41</v>
      </c>
      <c r="C5" s="51" t="s">
        <v>49</v>
      </c>
      <c r="D5" s="51" t="s">
        <v>52</v>
      </c>
      <c r="E5" s="51" t="s">
        <v>42</v>
      </c>
      <c r="F5" s="51" t="s">
        <v>44</v>
      </c>
      <c r="G5" s="51" t="s">
        <v>46</v>
      </c>
      <c r="H5" s="51" t="s">
        <v>47</v>
      </c>
      <c r="I5" s="51" t="s">
        <v>48</v>
      </c>
      <c r="J5" s="51" t="s">
        <v>60</v>
      </c>
      <c r="K5" s="51" t="s">
        <v>61</v>
      </c>
      <c r="L5" s="51" t="s">
        <v>50</v>
      </c>
    </row>
    <row r="6" spans="2:12" x14ac:dyDescent="0.25">
      <c r="B6" s="36" t="s">
        <v>62</v>
      </c>
      <c r="C6" s="35"/>
      <c r="D6" s="35"/>
      <c r="E6" s="35"/>
      <c r="F6" s="35"/>
      <c r="G6" s="35"/>
      <c r="H6" s="35"/>
      <c r="I6" s="35"/>
      <c r="J6" s="35"/>
      <c r="K6" s="35"/>
      <c r="L6" s="35"/>
    </row>
    <row r="7" spans="2:12" x14ac:dyDescent="0.25">
      <c r="B7" s="40" t="s">
        <v>63</v>
      </c>
      <c r="C7" s="50" t="s">
        <v>64</v>
      </c>
      <c r="D7" s="49">
        <v>25000</v>
      </c>
      <c r="E7" s="41">
        <f t="array" ref="E7">IF($D7="","",$D7*INDEX([1]Допущения!$C$25:$G$30,MATCH($C7,[1]Допущения!$B$25:$B$30,0),1))</f>
        <v>25000</v>
      </c>
      <c r="F7" s="41">
        <f t="array" ref="F7">IF($D7="","",$D7*INDEX([1]Допущения!$C$25:$G$30,MATCH($C7,[1]Допущения!$B$25:$B$30,0),2))</f>
        <v>100000</v>
      </c>
      <c r="G7" s="41">
        <f t="array" ref="G7">IF($D7="","",$D7*INDEX([1]Допущения!$C$25:$G$30,MATCH($C7,[1]Допущения!$B$25:$B$30,0),3))</f>
        <v>250000</v>
      </c>
      <c r="H7" s="41">
        <f t="array" ref="H7">IF($D7="","",$D7*INDEX([1]Допущения!$C$25:$G$30,MATCH($C7,[1]Допущения!$B$25:$B$30,0),4))</f>
        <v>416666.66666666669</v>
      </c>
      <c r="I7" s="41">
        <f t="array" ref="I7">IF($D7="","",$D7*INDEX([1]Допущения!$C$25:$G$30,MATCH($C7,[1]Допущения!$B$25:$B$30,0),5))</f>
        <v>583333.33333333326</v>
      </c>
      <c r="J7" s="41">
        <f t="shared" ref="J7:J14" si="0">SUM(E7:I7)</f>
        <v>1375000</v>
      </c>
      <c r="K7" s="48"/>
      <c r="L7" s="47" t="s">
        <v>100</v>
      </c>
    </row>
    <row r="8" spans="2:12" x14ac:dyDescent="0.25">
      <c r="B8" s="40" t="s">
        <v>101</v>
      </c>
      <c r="C8" s="50" t="s">
        <v>64</v>
      </c>
      <c r="D8" s="49">
        <v>24000</v>
      </c>
      <c r="E8" s="41">
        <f t="array" ref="E8">IF($D8="","",$D8*INDEX([1]Допущения!$C$25:$G$30,MATCH($C8,[1]Допущения!$B$25:$B$30,0),1))</f>
        <v>24000</v>
      </c>
      <c r="F8" s="41">
        <f t="array" ref="F8">IF($D8="","",$D8*INDEX([1]Допущения!$C$25:$G$30,MATCH($C8,[1]Допущения!$B$25:$B$30,0),2))</f>
        <v>96000</v>
      </c>
      <c r="G8" s="41">
        <f t="array" ref="G8">IF($D8="","",$D8*INDEX([1]Допущения!$C$25:$G$30,MATCH($C8,[1]Допущения!$B$25:$B$30,0),3))</f>
        <v>240000</v>
      </c>
      <c r="H8" s="41">
        <f t="array" ref="H8">IF($D8="","",$D8*INDEX([1]Допущения!$C$25:$G$30,MATCH($C8,[1]Допущения!$B$25:$B$30,0),4))</f>
        <v>400000</v>
      </c>
      <c r="I8" s="41">
        <f t="array" ref="I8">IF($D8="","",$D8*INDEX([1]Допущения!$C$25:$G$30,MATCH($C8,[1]Допущения!$B$25:$B$30,0),5))</f>
        <v>560000</v>
      </c>
      <c r="J8" s="41">
        <f t="shared" si="0"/>
        <v>1320000</v>
      </c>
      <c r="K8" s="48"/>
      <c r="L8" s="47" t="s">
        <v>102</v>
      </c>
    </row>
    <row r="9" spans="2:12" x14ac:dyDescent="0.25">
      <c r="B9" s="40" t="s">
        <v>103</v>
      </c>
      <c r="C9" s="50" t="s">
        <v>64</v>
      </c>
      <c r="D9" s="49">
        <v>6000</v>
      </c>
      <c r="E9" s="41">
        <f t="array" ref="E9">IF($D9="","",$D9*INDEX([1]Допущения!$C$25:$G$30,MATCH($C9,[1]Допущения!$B$25:$B$30,0),1))</f>
        <v>6000</v>
      </c>
      <c r="F9" s="41">
        <f t="array" ref="F9">IF($D9="","",$D9*INDEX([1]Допущения!$C$25:$G$30,MATCH($C9,[1]Допущения!$B$25:$B$30,0),2))</f>
        <v>24000</v>
      </c>
      <c r="G9" s="41">
        <f t="array" ref="G9">IF($D9="","",$D9*INDEX([1]Допущения!$C$25:$G$30,MATCH($C9,[1]Допущения!$B$25:$B$30,0),3))</f>
        <v>60000</v>
      </c>
      <c r="H9" s="41">
        <f t="array" ref="H9">IF($D9="","",$D9*INDEX([1]Допущения!$C$25:$G$30,MATCH($C9,[1]Допущения!$B$25:$B$30,0),4))</f>
        <v>100000</v>
      </c>
      <c r="I9" s="41">
        <f t="array" ref="I9">IF($D9="","",$D9*INDEX([1]Допущения!$C$25:$G$30,MATCH($C9,[1]Допущения!$B$25:$B$30,0),5))</f>
        <v>140000</v>
      </c>
      <c r="J9" s="41">
        <f t="shared" si="0"/>
        <v>330000</v>
      </c>
      <c r="K9" s="48"/>
      <c r="L9" s="47" t="s">
        <v>104</v>
      </c>
    </row>
    <row r="10" spans="2:12" x14ac:dyDescent="0.25">
      <c r="B10" s="40" t="s">
        <v>105</v>
      </c>
      <c r="C10" s="50" t="s">
        <v>64</v>
      </c>
      <c r="D10" s="49">
        <v>12000</v>
      </c>
      <c r="E10" s="41">
        <f t="array" ref="E10">IF($D10="","",$D10*INDEX([1]Допущения!$C$25:$G$30,MATCH($C10,[1]Допущения!$B$25:$B$30,0),1))</f>
        <v>12000</v>
      </c>
      <c r="F10" s="41">
        <f t="array" ref="F10">IF($D10="","",$D10*INDEX([1]Допущения!$C$25:$G$30,MATCH($C10,[1]Допущения!$B$25:$B$30,0),2))</f>
        <v>48000</v>
      </c>
      <c r="G10" s="41">
        <f t="array" ref="G10">IF($D10="","",$D10*INDEX([1]Допущения!$C$25:$G$30,MATCH($C10,[1]Допущения!$B$25:$B$30,0),3))</f>
        <v>120000</v>
      </c>
      <c r="H10" s="41">
        <f t="array" ref="H10">IF($D10="","",$D10*INDEX([1]Допущения!$C$25:$G$30,MATCH($C10,[1]Допущения!$B$25:$B$30,0),4))</f>
        <v>200000</v>
      </c>
      <c r="I10" s="41">
        <f t="array" ref="I10">IF($D10="","",$D10*INDEX([1]Допущения!$C$25:$G$30,MATCH($C10,[1]Допущения!$B$25:$B$30,0),5))</f>
        <v>280000</v>
      </c>
      <c r="J10" s="41">
        <f t="shared" si="0"/>
        <v>660000</v>
      </c>
      <c r="K10" s="48"/>
      <c r="L10" s="47" t="s">
        <v>106</v>
      </c>
    </row>
    <row r="11" spans="2:12" x14ac:dyDescent="0.25">
      <c r="B11" s="40" t="s">
        <v>107</v>
      </c>
      <c r="C11" s="50" t="s">
        <v>64</v>
      </c>
      <c r="D11" s="49">
        <v>12000</v>
      </c>
      <c r="E11" s="41">
        <f t="array" ref="E11">IF($D11="","",$D11*INDEX([1]Допущения!$C$25:$G$30,MATCH($C11,[1]Допущения!$B$25:$B$30,0),1))</f>
        <v>12000</v>
      </c>
      <c r="F11" s="41">
        <f t="array" ref="F11">IF($D11="","",$D11*INDEX([1]Допущения!$C$25:$G$30,MATCH($C11,[1]Допущения!$B$25:$B$30,0),2))</f>
        <v>48000</v>
      </c>
      <c r="G11" s="41">
        <f t="array" ref="G11">IF($D11="","",$D11*INDEX([1]Допущения!$C$25:$G$30,MATCH($C11,[1]Допущения!$B$25:$B$30,0),3))</f>
        <v>120000</v>
      </c>
      <c r="H11" s="41">
        <f t="array" ref="H11">IF($D11="","",$D11*INDEX([1]Допущения!$C$25:$G$30,MATCH($C11,[1]Допущения!$B$25:$B$30,0),4))</f>
        <v>200000</v>
      </c>
      <c r="I11" s="41">
        <f t="array" ref="I11">IF($D11="","",$D11*INDEX([1]Допущения!$C$25:$G$30,MATCH($C11,[1]Допущения!$B$25:$B$30,0),5))</f>
        <v>280000</v>
      </c>
      <c r="J11" s="41">
        <f t="shared" si="0"/>
        <v>660000</v>
      </c>
      <c r="K11" s="48"/>
      <c r="L11" s="47" t="s">
        <v>108</v>
      </c>
    </row>
    <row r="12" spans="2:12" x14ac:dyDescent="0.25">
      <c r="B12" s="40" t="s">
        <v>109</v>
      </c>
      <c r="C12" s="50" t="s">
        <v>64</v>
      </c>
      <c r="D12" s="49">
        <v>12000</v>
      </c>
      <c r="E12" s="41">
        <f t="array" ref="E12">IF($D12="","",$D12*INDEX([1]Допущения!$C$25:$G$30,MATCH($C12,[1]Допущения!$B$25:$B$30,0),1))</f>
        <v>12000</v>
      </c>
      <c r="F12" s="41">
        <f t="array" ref="F12">IF($D12="","",$D12*INDEX([1]Допущения!$C$25:$G$30,MATCH($C12,[1]Допущения!$B$25:$B$30,0),2))</f>
        <v>48000</v>
      </c>
      <c r="G12" s="41">
        <f t="array" ref="G12">IF($D12="","",$D12*INDEX([1]Допущения!$C$25:$G$30,MATCH($C12,[1]Допущения!$B$25:$B$30,0),3))</f>
        <v>120000</v>
      </c>
      <c r="H12" s="41">
        <f t="array" ref="H12">IF($D12="","",$D12*INDEX([1]Допущения!$C$25:$G$30,MATCH($C12,[1]Допущения!$B$25:$B$30,0),4))</f>
        <v>200000</v>
      </c>
      <c r="I12" s="41">
        <f t="array" ref="I12">IF($D12="","",$D12*INDEX([1]Допущения!$C$25:$G$30,MATCH($C12,[1]Допущения!$B$25:$B$30,0),5))</f>
        <v>280000</v>
      </c>
      <c r="J12" s="41">
        <f t="shared" si="0"/>
        <v>660000</v>
      </c>
      <c r="K12" s="48"/>
      <c r="L12" s="47" t="s">
        <v>110</v>
      </c>
    </row>
    <row r="13" spans="2:12" x14ac:dyDescent="0.25">
      <c r="B13" s="40" t="s">
        <v>111</v>
      </c>
      <c r="C13" s="50" t="s">
        <v>90</v>
      </c>
      <c r="D13" s="49">
        <v>12000</v>
      </c>
      <c r="E13" s="41">
        <f t="array" ref="E13">IF($D13="","",$D13*INDEX([1]Допущения!$C$25:$G$30,MATCH($C13,[1]Допущения!$B$25:$B$30,0),1))</f>
        <v>12000</v>
      </c>
      <c r="F13" s="41">
        <f t="array" ref="F13">IF($D13="","",$D13*INDEX([1]Допущения!$C$25:$G$30,MATCH($C13,[1]Допущения!$B$25:$B$30,0),2))</f>
        <v>12960</v>
      </c>
      <c r="G13" s="41">
        <f t="array" ref="G13">IF($D13="","",$D13*INDEX([1]Допущения!$C$25:$G$30,MATCH($C13,[1]Допущения!$B$25:$B$30,0),3))</f>
        <v>13996.800000000001</v>
      </c>
      <c r="H13" s="41">
        <f t="array" ref="H13">IF($D13="","",$D13*INDEX([1]Допущения!$C$25:$G$30,MATCH($C13,[1]Допущения!$B$25:$B$30,0),4))</f>
        <v>15116.544000000002</v>
      </c>
      <c r="I13" s="41">
        <f t="array" ref="I13">IF($D13="","",$D13*INDEX([1]Допущения!$C$25:$G$30,MATCH($C13,[1]Допущения!$B$25:$B$30,0),5))</f>
        <v>16325.867520000003</v>
      </c>
      <c r="J13" s="41">
        <f t="shared" si="0"/>
        <v>70399.211520000012</v>
      </c>
      <c r="K13" s="48"/>
      <c r="L13" s="47" t="s">
        <v>112</v>
      </c>
    </row>
    <row r="14" spans="2:12" x14ac:dyDescent="0.25">
      <c r="B14" s="40"/>
      <c r="C14" s="50" t="s">
        <v>88</v>
      </c>
      <c r="D14" s="49"/>
      <c r="E14" s="41" t="str">
        <f t="array" ref="E14">IF($D14="","",$D14*INDEX([1]Допущения!$C$25:$G$30,MATCH($C14,[1]Допущения!$B$25:$B$30,0),1))</f>
        <v/>
      </c>
      <c r="F14" s="41" t="str">
        <f t="array" ref="F14">IF($D14="","",$D14*INDEX([1]Допущения!$C$25:$G$30,MATCH($C14,[1]Допущения!$B$25:$B$30,0),2))</f>
        <v/>
      </c>
      <c r="G14" s="41" t="str">
        <f t="array" ref="G14">IF($D14="","",$D14*INDEX([1]Допущения!$C$25:$G$30,MATCH($C14,[1]Допущения!$B$25:$B$30,0),3))</f>
        <v/>
      </c>
      <c r="H14" s="41" t="str">
        <f t="array" ref="H14">IF($D14="","",$D14*INDEX([1]Допущения!$C$25:$G$30,MATCH($C14,[1]Допущения!$B$25:$B$30,0),4))</f>
        <v/>
      </c>
      <c r="I14" s="41" t="str">
        <f t="array" ref="I14">IF($D14="","",$D14*INDEX([1]Допущения!$C$25:$G$30,MATCH($C14,[1]Допущения!$B$25:$B$30,0),5))</f>
        <v/>
      </c>
      <c r="J14" s="41">
        <f t="shared" si="0"/>
        <v>0</v>
      </c>
      <c r="K14" s="48"/>
      <c r="L14" s="47" t="s">
        <v>113</v>
      </c>
    </row>
    <row r="15" spans="2:12" x14ac:dyDescent="0.25">
      <c r="B15" s="38" t="s">
        <v>114</v>
      </c>
      <c r="C15" s="45"/>
      <c r="D15" s="45"/>
      <c r="E15" s="37">
        <f t="shared" ref="E15:J15" si="1">SUM(E7:E14)</f>
        <v>103000</v>
      </c>
      <c r="F15" s="37">
        <f t="shared" si="1"/>
        <v>376960</v>
      </c>
      <c r="G15" s="37">
        <f t="shared" si="1"/>
        <v>923996.8</v>
      </c>
      <c r="H15" s="37">
        <f t="shared" si="1"/>
        <v>1531783.2106666667</v>
      </c>
      <c r="I15" s="37">
        <f t="shared" si="1"/>
        <v>2139659.2008533329</v>
      </c>
      <c r="J15" s="37">
        <f t="shared" si="1"/>
        <v>5075399.2115200004</v>
      </c>
      <c r="K15" s="46">
        <f>IFERROR(J15/$J$51,0)</f>
        <v>8.6279667524121542E-2</v>
      </c>
      <c r="L15" s="45"/>
    </row>
    <row r="16" spans="2:12" x14ac:dyDescent="0.25">
      <c r="C16" s="43"/>
    </row>
    <row r="17" spans="2:12" x14ac:dyDescent="0.25">
      <c r="B17" s="36" t="s">
        <v>115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2:12" x14ac:dyDescent="0.25">
      <c r="B18" s="40" t="s">
        <v>116</v>
      </c>
      <c r="C18" s="50" t="s">
        <v>64</v>
      </c>
      <c r="D18" s="49">
        <v>14000</v>
      </c>
      <c r="E18" s="41">
        <f t="array" ref="E18">IF($D18="","",$D18*INDEX([1]Допущения!$C$25:$G$30,MATCH($C18,[1]Допущения!$B$25:$B$30,0),1))</f>
        <v>14000</v>
      </c>
      <c r="F18" s="41">
        <f t="array" ref="F18">IF($D18="","",$D18*INDEX([1]Допущения!$C$25:$G$30,MATCH($C18,[1]Допущения!$B$25:$B$30,0),2))</f>
        <v>56000</v>
      </c>
      <c r="G18" s="41">
        <f t="array" ref="G18">IF($D18="","",$D18*INDEX([1]Допущения!$C$25:$G$30,MATCH($C18,[1]Допущения!$B$25:$B$30,0),3))</f>
        <v>140000</v>
      </c>
      <c r="H18" s="41">
        <f t="array" ref="H18">IF($D18="","",$D18*INDEX([1]Допущения!$C$25:$G$30,MATCH($C18,[1]Допущения!$B$25:$B$30,0),4))</f>
        <v>233333.33333333334</v>
      </c>
      <c r="I18" s="41">
        <f t="array" ref="I18">IF($D18="","",$D18*INDEX([1]Допущения!$C$25:$G$30,MATCH($C18,[1]Допущения!$B$25:$B$30,0),5))</f>
        <v>326666.66666666663</v>
      </c>
      <c r="J18" s="41">
        <f t="shared" ref="J18:J23" si="2">SUM(E18:I18)</f>
        <v>770000</v>
      </c>
      <c r="K18" s="48"/>
      <c r="L18" s="47" t="s">
        <v>117</v>
      </c>
    </row>
    <row r="19" spans="2:12" x14ac:dyDescent="0.25">
      <c r="B19" s="40" t="s">
        <v>118</v>
      </c>
      <c r="C19" s="50" t="s">
        <v>90</v>
      </c>
      <c r="D19" s="49">
        <v>4800</v>
      </c>
      <c r="E19" s="41">
        <f t="array" ref="E19">IF($D19="","",$D19*INDEX([1]Допущения!$C$25:$G$30,MATCH($C19,[1]Допущения!$B$25:$B$30,0),1))</f>
        <v>4800</v>
      </c>
      <c r="F19" s="41">
        <f t="array" ref="F19">IF($D19="","",$D19*INDEX([1]Допущения!$C$25:$G$30,MATCH($C19,[1]Допущения!$B$25:$B$30,0),2))</f>
        <v>5184</v>
      </c>
      <c r="G19" s="41">
        <f t="array" ref="G19">IF($D19="","",$D19*INDEX([1]Допущения!$C$25:$G$30,MATCH($C19,[1]Допущения!$B$25:$B$30,0),3))</f>
        <v>5598.72</v>
      </c>
      <c r="H19" s="41">
        <f t="array" ref="H19">IF($D19="","",$D19*INDEX([1]Допущения!$C$25:$G$30,MATCH($C19,[1]Допущения!$B$25:$B$30,0),4))</f>
        <v>6046.6176000000005</v>
      </c>
      <c r="I19" s="41">
        <f t="array" ref="I19">IF($D19="","",$D19*INDEX([1]Допущения!$C$25:$G$30,MATCH($C19,[1]Допущения!$B$25:$B$30,0),5))</f>
        <v>6530.3470080000016</v>
      </c>
      <c r="J19" s="41">
        <f t="shared" si="2"/>
        <v>28159.684608000003</v>
      </c>
      <c r="K19" s="48"/>
      <c r="L19" s="47" t="s">
        <v>119</v>
      </c>
    </row>
    <row r="20" spans="2:12" x14ac:dyDescent="0.25">
      <c r="B20" s="40" t="s">
        <v>120</v>
      </c>
      <c r="C20" s="50" t="s">
        <v>64</v>
      </c>
      <c r="D20" s="49">
        <v>7200</v>
      </c>
      <c r="E20" s="41">
        <f t="array" ref="E20">IF($D20="","",$D20*INDEX([1]Допущения!$C$25:$G$30,MATCH($C20,[1]Допущения!$B$25:$B$30,0),1))</f>
        <v>7200</v>
      </c>
      <c r="F20" s="41">
        <f t="array" ref="F20">IF($D20="","",$D20*INDEX([1]Допущения!$C$25:$G$30,MATCH($C20,[1]Допущения!$B$25:$B$30,0),2))</f>
        <v>28800</v>
      </c>
      <c r="G20" s="41">
        <f t="array" ref="G20">IF($D20="","",$D20*INDEX([1]Допущения!$C$25:$G$30,MATCH($C20,[1]Допущения!$B$25:$B$30,0),3))</f>
        <v>72000</v>
      </c>
      <c r="H20" s="41">
        <f t="array" ref="H20">IF($D20="","",$D20*INDEX([1]Допущения!$C$25:$G$30,MATCH($C20,[1]Допущения!$B$25:$B$30,0),4))</f>
        <v>120000.00000000001</v>
      </c>
      <c r="I20" s="41">
        <f t="array" ref="I20">IF($D20="","",$D20*INDEX([1]Допущения!$C$25:$G$30,MATCH($C20,[1]Допущения!$B$25:$B$30,0),5))</f>
        <v>168000</v>
      </c>
      <c r="J20" s="41">
        <f t="shared" si="2"/>
        <v>396000</v>
      </c>
      <c r="K20" s="48"/>
      <c r="L20" s="47" t="s">
        <v>121</v>
      </c>
    </row>
    <row r="21" spans="2:12" ht="15.75" customHeight="1" x14ac:dyDescent="0.25">
      <c r="B21" s="40" t="s">
        <v>122</v>
      </c>
      <c r="C21" s="50" t="s">
        <v>90</v>
      </c>
      <c r="D21" s="49">
        <v>3000</v>
      </c>
      <c r="E21" s="41">
        <f t="array" ref="E21">IF($D21="","",$D21*INDEX([1]Допущения!$C$25:$G$30,MATCH($C21,[1]Допущения!$B$25:$B$30,0),1))</f>
        <v>3000</v>
      </c>
      <c r="F21" s="41">
        <f t="array" ref="F21">IF($D21="","",$D21*INDEX([1]Допущения!$C$25:$G$30,MATCH($C21,[1]Допущения!$B$25:$B$30,0),2))</f>
        <v>3240</v>
      </c>
      <c r="G21" s="41">
        <f t="array" ref="G21">IF($D21="","",$D21*INDEX([1]Допущения!$C$25:$G$30,MATCH($C21,[1]Допущения!$B$25:$B$30,0),3))</f>
        <v>3499.2000000000003</v>
      </c>
      <c r="H21" s="41">
        <f t="array" ref="H21">IF($D21="","",$D21*INDEX([1]Допущения!$C$25:$G$30,MATCH($C21,[1]Допущения!$B$25:$B$30,0),4))</f>
        <v>3779.1360000000004</v>
      </c>
      <c r="I21" s="41">
        <f t="array" ref="I21">IF($D21="","",$D21*INDEX([1]Допущения!$C$25:$G$30,MATCH($C21,[1]Допущения!$B$25:$B$30,0),5))</f>
        <v>4081.4668800000009</v>
      </c>
      <c r="J21" s="41">
        <f t="shared" si="2"/>
        <v>17599.802880000003</v>
      </c>
      <c r="K21" s="48"/>
      <c r="L21" s="47" t="s">
        <v>123</v>
      </c>
    </row>
    <row r="22" spans="2:12" ht="15.75" customHeight="1" x14ac:dyDescent="0.25">
      <c r="B22" s="40" t="s">
        <v>124</v>
      </c>
      <c r="C22" s="50" t="s">
        <v>90</v>
      </c>
      <c r="D22" s="49">
        <v>2400</v>
      </c>
      <c r="E22" s="41">
        <f t="array" ref="E22">IF($D22="","",$D22*INDEX([1]Допущения!$C$25:$G$30,MATCH($C22,[1]Допущения!$B$25:$B$30,0),1))</f>
        <v>2400</v>
      </c>
      <c r="F22" s="41">
        <f t="array" ref="F22">IF($D22="","",$D22*INDEX([1]Допущения!$C$25:$G$30,MATCH($C22,[1]Допущения!$B$25:$B$30,0),2))</f>
        <v>2592</v>
      </c>
      <c r="G22" s="41">
        <f t="array" ref="G22">IF($D22="","",$D22*INDEX([1]Допущения!$C$25:$G$30,MATCH($C22,[1]Допущения!$B$25:$B$30,0),3))</f>
        <v>2799.36</v>
      </c>
      <c r="H22" s="41">
        <f t="array" ref="H22">IF($D22="","",$D22*INDEX([1]Допущения!$C$25:$G$30,MATCH($C22,[1]Допущения!$B$25:$B$30,0),4))</f>
        <v>3023.3088000000002</v>
      </c>
      <c r="I22" s="41">
        <f t="array" ref="I22">IF($D22="","",$D22*INDEX([1]Допущения!$C$25:$G$30,MATCH($C22,[1]Допущения!$B$25:$B$30,0),5))</f>
        <v>3265.1735040000008</v>
      </c>
      <c r="J22" s="41">
        <f t="shared" si="2"/>
        <v>14079.842304000002</v>
      </c>
      <c r="K22" s="48"/>
      <c r="L22" s="47" t="s">
        <v>125</v>
      </c>
    </row>
    <row r="23" spans="2:12" ht="15.75" customHeight="1" x14ac:dyDescent="0.25">
      <c r="B23" s="40"/>
      <c r="C23" s="50" t="s">
        <v>88</v>
      </c>
      <c r="D23" s="49"/>
      <c r="E23" s="41" t="str">
        <f t="array" ref="E23">IF($D23="","",$D23*INDEX([1]Допущения!$C$25:$G$30,MATCH($C23,[1]Допущения!$B$25:$B$30,0),1))</f>
        <v/>
      </c>
      <c r="F23" s="41" t="str">
        <f t="array" ref="F23">IF($D23="","",$D23*INDEX([1]Допущения!$C$25:$G$30,MATCH($C23,[1]Допущения!$B$25:$B$30,0),2))</f>
        <v/>
      </c>
      <c r="G23" s="41" t="str">
        <f t="array" ref="G23">IF($D23="","",$D23*INDEX([1]Допущения!$C$25:$G$30,MATCH($C23,[1]Допущения!$B$25:$B$30,0),3))</f>
        <v/>
      </c>
      <c r="H23" s="41" t="str">
        <f t="array" ref="H23">IF($D23="","",$D23*INDEX([1]Допущения!$C$25:$G$30,MATCH($C23,[1]Допущения!$B$25:$B$30,0),4))</f>
        <v/>
      </c>
      <c r="I23" s="41" t="str">
        <f t="array" ref="I23">IF($D23="","",$D23*INDEX([1]Допущения!$C$25:$G$30,MATCH($C23,[1]Допущения!$B$25:$B$30,0),5))</f>
        <v/>
      </c>
      <c r="J23" s="41">
        <f t="shared" si="2"/>
        <v>0</v>
      </c>
      <c r="K23" s="48"/>
      <c r="L23" s="47" t="s">
        <v>113</v>
      </c>
    </row>
    <row r="24" spans="2:12" ht="15.75" customHeight="1" x14ac:dyDescent="0.25">
      <c r="B24" s="38" t="s">
        <v>114</v>
      </c>
      <c r="C24" s="45"/>
      <c r="D24" s="45"/>
      <c r="E24" s="37">
        <f t="shared" ref="E24:J24" si="3">SUM(E18:E23)</f>
        <v>31400</v>
      </c>
      <c r="F24" s="37">
        <f t="shared" si="3"/>
        <v>95816</v>
      </c>
      <c r="G24" s="37">
        <f t="shared" si="3"/>
        <v>223897.28</v>
      </c>
      <c r="H24" s="37">
        <f t="shared" si="3"/>
        <v>366182.39573333337</v>
      </c>
      <c r="I24" s="37">
        <f t="shared" si="3"/>
        <v>508543.65405866667</v>
      </c>
      <c r="J24" s="37">
        <f t="shared" si="3"/>
        <v>1225839.3297919999</v>
      </c>
      <c r="K24" s="46">
        <f>IFERROR(J24/$J$51,0)</f>
        <v>2.0838756796191175E-2</v>
      </c>
      <c r="L24" s="45"/>
    </row>
    <row r="25" spans="2:12" ht="15.75" customHeight="1" x14ac:dyDescent="0.25">
      <c r="C25" s="43"/>
    </row>
    <row r="26" spans="2:12" ht="15.75" customHeight="1" x14ac:dyDescent="0.25">
      <c r="B26" s="36" t="s">
        <v>126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2:12" ht="15.75" customHeight="1" x14ac:dyDescent="0.25">
      <c r="B27" s="40" t="s">
        <v>127</v>
      </c>
      <c r="C27" s="50" t="s">
        <v>97</v>
      </c>
      <c r="D27" s="49">
        <v>225000</v>
      </c>
      <c r="E27" s="41">
        <f t="array" ref="E27">IF($D27="","",$D27*INDEX([1]Допущения!$C$25:$G$30,MATCH($C27,[1]Допущения!$B$25:$B$30,0),1))</f>
        <v>225000</v>
      </c>
      <c r="F27" s="41">
        <f t="array" ref="F27">IF($D27="","",$D27*INDEX([1]Допущения!$C$25:$G$30,MATCH($C27,[1]Допущения!$B$25:$B$30,0),2))</f>
        <v>1404000</v>
      </c>
      <c r="G27" s="41">
        <f t="array" ref="G27">IF($D27="","",$D27*INDEX([1]Допущения!$C$25:$G$30,MATCH($C27,[1]Допущения!$B$25:$B$30,0),3))</f>
        <v>4860000</v>
      </c>
      <c r="H27" s="41">
        <f t="array" ref="H27">IF($D27="","",$D27*INDEX([1]Допущения!$C$25:$G$30,MATCH($C27,[1]Допущения!$B$25:$B$30,0),4))</f>
        <v>10080000</v>
      </c>
      <c r="I27" s="41">
        <f t="array" ref="I27">IF($D27="","",$D27*INDEX([1]Допущения!$C$25:$G$30,MATCH($C27,[1]Допущения!$B$25:$B$30,0),5))</f>
        <v>15659999.999999998</v>
      </c>
      <c r="J27" s="41">
        <f>SUM(E27:I27)</f>
        <v>32229000</v>
      </c>
      <c r="K27" s="48"/>
      <c r="L27" s="47" t="s">
        <v>128</v>
      </c>
    </row>
    <row r="28" spans="2:12" ht="15.75" customHeight="1" x14ac:dyDescent="0.25">
      <c r="B28" s="40" t="s">
        <v>129</v>
      </c>
      <c r="C28" s="50" t="s">
        <v>95</v>
      </c>
      <c r="D28" s="49">
        <v>12000</v>
      </c>
      <c r="E28" s="41">
        <f t="array" ref="E28">IF($D28="","",$D28*INDEX([1]Допущения!$C$25:$G$30,MATCH($C28,[1]Допущения!$B$25:$B$30,0),1))</f>
        <v>12000</v>
      </c>
      <c r="F28" s="41">
        <f t="array" ref="F28">IF($D28="","",$D28*INDEX([1]Допущения!$C$25:$G$30,MATCH($C28,[1]Допущения!$B$25:$B$30,0),2))</f>
        <v>72000</v>
      </c>
      <c r="G28" s="41">
        <f t="array" ref="G28">IF($D28="","",$D28*INDEX([1]Допущения!$C$25:$G$30,MATCH($C28,[1]Допущения!$B$25:$B$30,0),3))</f>
        <v>240000</v>
      </c>
      <c r="H28" s="41">
        <f t="array" ref="H28">IF($D28="","",$D28*INDEX([1]Допущения!$C$25:$G$30,MATCH($C28,[1]Допущения!$B$25:$B$30,0),4))</f>
        <v>480000</v>
      </c>
      <c r="I28" s="41">
        <f t="array" ref="I28">IF($D28="","",$D28*INDEX([1]Допущения!$C$25:$G$30,MATCH($C28,[1]Допущения!$B$25:$B$30,0),5))</f>
        <v>720000</v>
      </c>
      <c r="J28" s="41">
        <f>SUM(E28:I28)</f>
        <v>1524000</v>
      </c>
      <c r="K28" s="48"/>
      <c r="L28" s="47" t="s">
        <v>130</v>
      </c>
    </row>
    <row r="29" spans="2:12" ht="15.75" customHeight="1" x14ac:dyDescent="0.25">
      <c r="B29" s="40" t="s">
        <v>131</v>
      </c>
      <c r="C29" s="50" t="s">
        <v>95</v>
      </c>
      <c r="D29" s="49">
        <v>9000</v>
      </c>
      <c r="E29" s="41">
        <f t="array" ref="E29">IF($D29="","",$D29*INDEX([1]Допущения!$C$25:$G$30,MATCH($C29,[1]Допущения!$B$25:$B$30,0),1))</f>
        <v>9000</v>
      </c>
      <c r="F29" s="41">
        <f t="array" ref="F29">IF($D29="","",$D29*INDEX([1]Допущения!$C$25:$G$30,MATCH($C29,[1]Допущения!$B$25:$B$30,0),2))</f>
        <v>54000</v>
      </c>
      <c r="G29" s="41">
        <f t="array" ref="G29">IF($D29="","",$D29*INDEX([1]Допущения!$C$25:$G$30,MATCH($C29,[1]Допущения!$B$25:$B$30,0),3))</f>
        <v>180000</v>
      </c>
      <c r="H29" s="41">
        <f t="array" ref="H29">IF($D29="","",$D29*INDEX([1]Допущения!$C$25:$G$30,MATCH($C29,[1]Допущения!$B$25:$B$30,0),4))</f>
        <v>360000</v>
      </c>
      <c r="I29" s="41">
        <f t="array" ref="I29">IF($D29="","",$D29*INDEX([1]Допущения!$C$25:$G$30,MATCH($C29,[1]Допущения!$B$25:$B$30,0),5))</f>
        <v>540000</v>
      </c>
      <c r="J29" s="41">
        <f>SUM(E29:I29)</f>
        <v>1143000</v>
      </c>
      <c r="K29" s="48"/>
      <c r="L29" s="47" t="s">
        <v>132</v>
      </c>
    </row>
    <row r="30" spans="2:12" ht="15.75" customHeight="1" x14ac:dyDescent="0.25">
      <c r="B30" s="40" t="s">
        <v>133</v>
      </c>
      <c r="C30" s="50" t="s">
        <v>95</v>
      </c>
      <c r="D30" s="49">
        <v>30000</v>
      </c>
      <c r="E30" s="41">
        <f t="array" ref="E30">IF($D30="","",$D30*INDEX([1]Допущения!$C$25:$G$30,MATCH($C30,[1]Допущения!$B$25:$B$30,0),1))</f>
        <v>30000</v>
      </c>
      <c r="F30" s="41">
        <f t="array" ref="F30">IF($D30="","",$D30*INDEX([1]Допущения!$C$25:$G$30,MATCH($C30,[1]Допущения!$B$25:$B$30,0),2))</f>
        <v>180000</v>
      </c>
      <c r="G30" s="41">
        <f t="array" ref="G30">IF($D30="","",$D30*INDEX([1]Допущения!$C$25:$G$30,MATCH($C30,[1]Допущения!$B$25:$B$30,0),3))</f>
        <v>600000</v>
      </c>
      <c r="H30" s="41">
        <f t="array" ref="H30">IF($D30="","",$D30*INDEX([1]Допущения!$C$25:$G$30,MATCH($C30,[1]Допущения!$B$25:$B$30,0),4))</f>
        <v>1200000</v>
      </c>
      <c r="I30" s="41">
        <f t="array" ref="I30">IF($D30="","",$D30*INDEX([1]Допущения!$C$25:$G$30,MATCH($C30,[1]Допущения!$B$25:$B$30,0),5))</f>
        <v>1800000</v>
      </c>
      <c r="J30" s="41">
        <f>SUM(E30:I30)</f>
        <v>3810000</v>
      </c>
      <c r="K30" s="48"/>
      <c r="L30" s="47" t="s">
        <v>134</v>
      </c>
    </row>
    <row r="31" spans="2:12" ht="15.75" customHeight="1" x14ac:dyDescent="0.25">
      <c r="B31" s="40"/>
      <c r="C31" s="50" t="s">
        <v>88</v>
      </c>
      <c r="D31" s="49"/>
      <c r="E31" s="41" t="str">
        <f t="array" ref="E31">IF($D31="","",$D31*INDEX([1]Допущения!$C$25:$G$30,MATCH($C31,[1]Допущения!$B$25:$B$30,0),1))</f>
        <v/>
      </c>
      <c r="F31" s="41" t="str">
        <f t="array" ref="F31">IF($D31="","",$D31*INDEX([1]Допущения!$C$25:$G$30,MATCH($C31,[1]Допущения!$B$25:$B$30,0),2))</f>
        <v/>
      </c>
      <c r="G31" s="41" t="str">
        <f t="array" ref="G31">IF($D31="","",$D31*INDEX([1]Допущения!$C$25:$G$30,MATCH($C31,[1]Допущения!$B$25:$B$30,0),3))</f>
        <v/>
      </c>
      <c r="H31" s="41" t="str">
        <f t="array" ref="H31">IF($D31="","",$D31*INDEX([1]Допущения!$C$25:$G$30,MATCH($C31,[1]Допущения!$B$25:$B$30,0),4))</f>
        <v/>
      </c>
      <c r="I31" s="41" t="str">
        <f t="array" ref="I31">IF($D31="","",$D31*INDEX([1]Допущения!$C$25:$G$30,MATCH($C31,[1]Допущения!$B$25:$B$30,0),5))</f>
        <v/>
      </c>
      <c r="J31" s="41">
        <f>SUM(E31:I31)</f>
        <v>0</v>
      </c>
      <c r="K31" s="48"/>
      <c r="L31" s="47" t="s">
        <v>113</v>
      </c>
    </row>
    <row r="32" spans="2:12" ht="15.75" customHeight="1" x14ac:dyDescent="0.25">
      <c r="B32" s="38" t="s">
        <v>114</v>
      </c>
      <c r="C32" s="45"/>
      <c r="D32" s="45"/>
      <c r="E32" s="37">
        <f t="shared" ref="E32:J32" si="4">SUM(E27:E31)</f>
        <v>276000</v>
      </c>
      <c r="F32" s="37">
        <f t="shared" si="4"/>
        <v>1710000</v>
      </c>
      <c r="G32" s="37">
        <f t="shared" si="4"/>
        <v>5880000</v>
      </c>
      <c r="H32" s="37">
        <f t="shared" si="4"/>
        <v>12120000</v>
      </c>
      <c r="I32" s="37">
        <f t="shared" si="4"/>
        <v>18720000</v>
      </c>
      <c r="J32" s="37">
        <f t="shared" si="4"/>
        <v>38706000</v>
      </c>
      <c r="K32" s="46">
        <f>IFERROR(J32/$J$51,0)</f>
        <v>0.6579858395392133</v>
      </c>
      <c r="L32" s="45"/>
    </row>
    <row r="33" spans="2:12" ht="15.75" customHeight="1" x14ac:dyDescent="0.25">
      <c r="C33" s="43"/>
    </row>
    <row r="34" spans="2:12" ht="15.75" customHeight="1" x14ac:dyDescent="0.25">
      <c r="B34" s="36" t="s">
        <v>135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</row>
    <row r="35" spans="2:12" ht="15.75" customHeight="1" x14ac:dyDescent="0.25">
      <c r="B35" s="40" t="s">
        <v>136</v>
      </c>
      <c r="C35" s="50" t="s">
        <v>92</v>
      </c>
      <c r="D35" s="49">
        <v>600000</v>
      </c>
      <c r="E35" s="41">
        <f t="array" ref="E35">IF($D35="","",$D35*INDEX([1]Допущения!$C$25:$G$30,MATCH($C35,[1]Допущения!$B$25:$B$30,0),1))</f>
        <v>600000</v>
      </c>
      <c r="F35" s="41">
        <f t="array" ref="F35">IF($D35="","",$D35*INDEX([1]Допущения!$C$25:$G$30,MATCH($C35,[1]Допущения!$B$25:$B$30,0),2))</f>
        <v>672000.00000000012</v>
      </c>
      <c r="G35" s="41">
        <f t="array" ref="G35">IF($D35="","",$D35*INDEX([1]Допущения!$C$25:$G$30,MATCH($C35,[1]Допущения!$B$25:$B$30,0),3))</f>
        <v>752640.00000000012</v>
      </c>
      <c r="H35" s="41">
        <f t="array" ref="H35">IF($D35="","",$D35*INDEX([1]Допущения!$C$25:$G$30,MATCH($C35,[1]Допущения!$B$25:$B$30,0),4))</f>
        <v>842956.80000000028</v>
      </c>
      <c r="I35" s="41">
        <f t="array" ref="I35">IF($D35="","",$D35*INDEX([1]Допущения!$C$25:$G$30,MATCH($C35,[1]Допущения!$B$25:$B$30,0),5))</f>
        <v>944111.61600000039</v>
      </c>
      <c r="J35" s="41">
        <f>SUM(E35:I35)</f>
        <v>3811708.4160000007</v>
      </c>
      <c r="K35" s="48"/>
      <c r="L35" s="47" t="s">
        <v>137</v>
      </c>
    </row>
    <row r="36" spans="2:12" ht="15.75" customHeight="1" x14ac:dyDescent="0.25">
      <c r="B36" s="40" t="s">
        <v>138</v>
      </c>
      <c r="C36" s="50" t="s">
        <v>92</v>
      </c>
      <c r="D36" s="49">
        <v>90000</v>
      </c>
      <c r="E36" s="41">
        <f t="array" ref="E36">IF($D36="","",$D36*INDEX([1]Допущения!$C$25:$G$30,MATCH($C36,[1]Допущения!$B$25:$B$30,0),1))</f>
        <v>90000</v>
      </c>
      <c r="F36" s="41">
        <f t="array" ref="F36">IF($D36="","",$D36*INDEX([1]Допущения!$C$25:$G$30,MATCH($C36,[1]Допущения!$B$25:$B$30,0),2))</f>
        <v>100800.00000000001</v>
      </c>
      <c r="G36" s="41">
        <f t="array" ref="G36">IF($D36="","",$D36*INDEX([1]Допущения!$C$25:$G$30,MATCH($C36,[1]Допущения!$B$25:$B$30,0),3))</f>
        <v>112896.00000000001</v>
      </c>
      <c r="H36" s="41">
        <f t="array" ref="H36">IF($D36="","",$D36*INDEX([1]Допущения!$C$25:$G$30,MATCH($C36,[1]Допущения!$B$25:$B$30,0),4))</f>
        <v>126443.52000000003</v>
      </c>
      <c r="I36" s="41">
        <f t="array" ref="I36">IF($D36="","",$D36*INDEX([1]Допущения!$C$25:$G$30,MATCH($C36,[1]Допущения!$B$25:$B$30,0),5))</f>
        <v>141616.74240000005</v>
      </c>
      <c r="J36" s="41">
        <f>SUM(E36:I36)</f>
        <v>571756.26240000012</v>
      </c>
      <c r="K36" s="48"/>
      <c r="L36" s="47" t="s">
        <v>139</v>
      </c>
    </row>
    <row r="37" spans="2:12" ht="15.75" customHeight="1" x14ac:dyDescent="0.25">
      <c r="B37" s="40" t="s">
        <v>140</v>
      </c>
      <c r="C37" s="50" t="s">
        <v>92</v>
      </c>
      <c r="D37" s="49">
        <v>48000</v>
      </c>
      <c r="E37" s="41">
        <f t="array" ref="E37">IF($D37="","",$D37*INDEX([1]Допущения!$C$25:$G$30,MATCH($C37,[1]Допущения!$B$25:$B$30,0),1))</f>
        <v>48000</v>
      </c>
      <c r="F37" s="41">
        <f t="array" ref="F37">IF($D37="","",$D37*INDEX([1]Допущения!$C$25:$G$30,MATCH($C37,[1]Допущения!$B$25:$B$30,0),2))</f>
        <v>53760.000000000007</v>
      </c>
      <c r="G37" s="41">
        <f t="array" ref="G37">IF($D37="","",$D37*INDEX([1]Допущения!$C$25:$G$30,MATCH($C37,[1]Допущения!$B$25:$B$30,0),3))</f>
        <v>60211.200000000012</v>
      </c>
      <c r="H37" s="41">
        <f t="array" ref="H37">IF($D37="","",$D37*INDEX([1]Допущения!$C$25:$G$30,MATCH($C37,[1]Допущения!$B$25:$B$30,0),4))</f>
        <v>67436.544000000024</v>
      </c>
      <c r="I37" s="41">
        <f t="array" ref="I37">IF($D37="","",$D37*INDEX([1]Допущения!$C$25:$G$30,MATCH($C37,[1]Допущения!$B$25:$B$30,0),5))</f>
        <v>75528.929280000026</v>
      </c>
      <c r="J37" s="41">
        <f>SUM(E37:I37)</f>
        <v>304936.67328000005</v>
      </c>
      <c r="K37" s="48"/>
      <c r="L37" s="47" t="s">
        <v>141</v>
      </c>
    </row>
    <row r="38" spans="2:12" ht="15.75" customHeight="1" x14ac:dyDescent="0.25">
      <c r="B38" s="40" t="s">
        <v>142</v>
      </c>
      <c r="C38" s="50" t="s">
        <v>92</v>
      </c>
      <c r="D38" s="49">
        <v>150000</v>
      </c>
      <c r="E38" s="41">
        <f t="array" ref="E38">IF($D38="","",$D38*INDEX([1]Допущения!$C$25:$G$30,MATCH($C38,[1]Допущения!$B$25:$B$30,0),1))</f>
        <v>150000</v>
      </c>
      <c r="F38" s="41">
        <f t="array" ref="F38">IF($D38="","",$D38*INDEX([1]Допущения!$C$25:$G$30,MATCH($C38,[1]Допущения!$B$25:$B$30,0),2))</f>
        <v>168000.00000000003</v>
      </c>
      <c r="G38" s="41">
        <f t="array" ref="G38">IF($D38="","",$D38*INDEX([1]Допущения!$C$25:$G$30,MATCH($C38,[1]Допущения!$B$25:$B$30,0),3))</f>
        <v>188160.00000000003</v>
      </c>
      <c r="H38" s="41">
        <f t="array" ref="H38">IF($D38="","",$D38*INDEX([1]Допущения!$C$25:$G$30,MATCH($C38,[1]Допущения!$B$25:$B$30,0),4))</f>
        <v>210739.20000000007</v>
      </c>
      <c r="I38" s="41">
        <f t="array" ref="I38">IF($D38="","",$D38*INDEX([1]Допущения!$C$25:$G$30,MATCH($C38,[1]Допущения!$B$25:$B$30,0),5))</f>
        <v>236027.9040000001</v>
      </c>
      <c r="J38" s="41">
        <f>SUM(E38:I38)</f>
        <v>952927.10400000017</v>
      </c>
      <c r="K38" s="48"/>
      <c r="L38" s="47" t="s">
        <v>143</v>
      </c>
    </row>
    <row r="39" spans="2:12" ht="15.75" customHeight="1" x14ac:dyDescent="0.25">
      <c r="B39" s="40"/>
      <c r="C39" s="50" t="s">
        <v>88</v>
      </c>
      <c r="D39" s="49"/>
      <c r="E39" s="41" t="str">
        <f t="array" ref="E39">IF($D39="","",$D39*INDEX([1]Допущения!$C$25:$G$30,MATCH($C39,[1]Допущения!$B$25:$B$30,0),1))</f>
        <v/>
      </c>
      <c r="F39" s="41" t="str">
        <f t="array" ref="F39">IF($D39="","",$D39*INDEX([1]Допущения!$C$25:$G$30,MATCH($C39,[1]Допущения!$B$25:$B$30,0),2))</f>
        <v/>
      </c>
      <c r="G39" s="41" t="str">
        <f t="array" ref="G39">IF($D39="","",$D39*INDEX([1]Допущения!$C$25:$G$30,MATCH($C39,[1]Допущения!$B$25:$B$30,0),3))</f>
        <v/>
      </c>
      <c r="H39" s="41" t="str">
        <f t="array" ref="H39">IF($D39="","",$D39*INDEX([1]Допущения!$C$25:$G$30,MATCH($C39,[1]Допущения!$B$25:$B$30,0),4))</f>
        <v/>
      </c>
      <c r="I39" s="41" t="str">
        <f t="array" ref="I39">IF($D39="","",$D39*INDEX([1]Допущения!$C$25:$G$30,MATCH($C39,[1]Допущения!$B$25:$B$30,0),5))</f>
        <v/>
      </c>
      <c r="J39" s="41">
        <f>SUM(E39:I39)</f>
        <v>0</v>
      </c>
      <c r="K39" s="48"/>
      <c r="L39" s="47" t="s">
        <v>113</v>
      </c>
    </row>
    <row r="40" spans="2:12" ht="15.75" customHeight="1" x14ac:dyDescent="0.25">
      <c r="B40" s="38" t="s">
        <v>114</v>
      </c>
      <c r="C40" s="45"/>
      <c r="D40" s="45"/>
      <c r="E40" s="37">
        <f t="shared" ref="E40:J40" si="5">SUM(E35:E39)</f>
        <v>888000</v>
      </c>
      <c r="F40" s="37">
        <f t="shared" si="5"/>
        <v>994560.00000000012</v>
      </c>
      <c r="G40" s="37">
        <f t="shared" si="5"/>
        <v>1113907.2000000002</v>
      </c>
      <c r="H40" s="37">
        <f t="shared" si="5"/>
        <v>1247576.0640000002</v>
      </c>
      <c r="I40" s="37">
        <f t="shared" si="5"/>
        <v>1397285.1916800006</v>
      </c>
      <c r="J40" s="37">
        <f t="shared" si="5"/>
        <v>5641328.4556800006</v>
      </c>
      <c r="K40" s="46">
        <f>IFERROR(J40/$J$51,0)</f>
        <v>9.5900228389062647E-2</v>
      </c>
      <c r="L40" s="45"/>
    </row>
    <row r="41" spans="2:12" ht="15.75" customHeight="1" x14ac:dyDescent="0.25">
      <c r="C41" s="43"/>
    </row>
    <row r="42" spans="2:12" ht="15.75" customHeight="1" x14ac:dyDescent="0.25">
      <c r="B42" s="36" t="s">
        <v>144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</row>
    <row r="43" spans="2:12" ht="15.75" customHeight="1" x14ac:dyDescent="0.25">
      <c r="B43" s="40" t="s">
        <v>145</v>
      </c>
      <c r="C43" s="50" t="s">
        <v>88</v>
      </c>
      <c r="D43" s="49">
        <v>25000</v>
      </c>
      <c r="E43" s="41">
        <f t="array" ref="E43">IF($D43="","",$D43*INDEX([1]Допущения!$C$25:$G$30,MATCH($C43,[1]Допущения!$B$25:$B$30,0),1))</f>
        <v>25000</v>
      </c>
      <c r="F43" s="41">
        <f t="array" ref="F43">IF($D43="","",$D43*INDEX([1]Допущения!$C$25:$G$30,MATCH($C43,[1]Допущения!$B$25:$B$30,0),2))</f>
        <v>25000</v>
      </c>
      <c r="G43" s="41">
        <f t="array" ref="G43">IF($D43="","",$D43*INDEX([1]Допущения!$C$25:$G$30,MATCH($C43,[1]Допущения!$B$25:$B$30,0),3))</f>
        <v>25000</v>
      </c>
      <c r="H43" s="41">
        <f t="array" ref="H43">IF($D43="","",$D43*INDEX([1]Допущения!$C$25:$G$30,MATCH($C43,[1]Допущения!$B$25:$B$30,0),4))</f>
        <v>25000</v>
      </c>
      <c r="I43" s="41">
        <f t="array" ref="I43">IF($D43="","",$D43*INDEX([1]Допущения!$C$25:$G$30,MATCH($C43,[1]Допущения!$B$25:$B$30,0),5))</f>
        <v>25000</v>
      </c>
      <c r="J43" s="41">
        <f>SUM(E43:I43)</f>
        <v>125000</v>
      </c>
      <c r="K43" s="48"/>
      <c r="L43" s="47" t="s">
        <v>146</v>
      </c>
    </row>
    <row r="44" spans="2:12" ht="15.75" customHeight="1" x14ac:dyDescent="0.25">
      <c r="B44" s="40" t="s">
        <v>147</v>
      </c>
      <c r="C44" s="50" t="s">
        <v>90</v>
      </c>
      <c r="D44" s="49">
        <v>15000</v>
      </c>
      <c r="E44" s="41">
        <f t="array" ref="E44">IF($D44="","",$D44*INDEX([1]Допущения!$C$25:$G$30,MATCH($C44,[1]Допущения!$B$25:$B$30,0),1))</f>
        <v>15000</v>
      </c>
      <c r="F44" s="41">
        <f t="array" ref="F44">IF($D44="","",$D44*INDEX([1]Допущения!$C$25:$G$30,MATCH($C44,[1]Допущения!$B$25:$B$30,0),2))</f>
        <v>16200.000000000002</v>
      </c>
      <c r="G44" s="41">
        <f t="array" ref="G44">IF($D44="","",$D44*INDEX([1]Допущения!$C$25:$G$30,MATCH($C44,[1]Допущения!$B$25:$B$30,0),3))</f>
        <v>17496</v>
      </c>
      <c r="H44" s="41">
        <f t="array" ref="H44">IF($D44="","",$D44*INDEX([1]Допущения!$C$25:$G$30,MATCH($C44,[1]Допущения!$B$25:$B$30,0),4))</f>
        <v>18895.680000000004</v>
      </c>
      <c r="I44" s="41">
        <f t="array" ref="I44">IF($D44="","",$D44*INDEX([1]Допущения!$C$25:$G$30,MATCH($C44,[1]Допущения!$B$25:$B$30,0),5))</f>
        <v>20407.334400000003</v>
      </c>
      <c r="J44" s="41">
        <f>SUM(E44:I44)</f>
        <v>87999.014400000015</v>
      </c>
      <c r="K44" s="48"/>
      <c r="L44" s="47" t="s">
        <v>148</v>
      </c>
    </row>
    <row r="45" spans="2:12" ht="15.75" customHeight="1" x14ac:dyDescent="0.25">
      <c r="B45" s="40" t="s">
        <v>149</v>
      </c>
      <c r="C45" s="50" t="s">
        <v>88</v>
      </c>
      <c r="D45" s="49">
        <v>20000</v>
      </c>
      <c r="E45" s="41">
        <f t="array" ref="E45">IF($D45="","",$D45*INDEX([1]Допущения!$C$25:$G$30,MATCH($C45,[1]Допущения!$B$25:$B$30,0),1))</f>
        <v>20000</v>
      </c>
      <c r="F45" s="41">
        <f t="array" ref="F45">IF($D45="","",$D45*INDEX([1]Допущения!$C$25:$G$30,MATCH($C45,[1]Допущения!$B$25:$B$30,0),2))</f>
        <v>20000</v>
      </c>
      <c r="G45" s="41">
        <f t="array" ref="G45">IF($D45="","",$D45*INDEX([1]Допущения!$C$25:$G$30,MATCH($C45,[1]Допущения!$B$25:$B$30,0),3))</f>
        <v>20000</v>
      </c>
      <c r="H45" s="41">
        <f t="array" ref="H45">IF($D45="","",$D45*INDEX([1]Допущения!$C$25:$G$30,MATCH($C45,[1]Допущения!$B$25:$B$30,0),4))</f>
        <v>20000</v>
      </c>
      <c r="I45" s="41">
        <f t="array" ref="I45">IF($D45="","",$D45*INDEX([1]Допущения!$C$25:$G$30,MATCH($C45,[1]Допущения!$B$25:$B$30,0),5))</f>
        <v>20000</v>
      </c>
      <c r="J45" s="41">
        <f>SUM(E45:I45)</f>
        <v>100000</v>
      </c>
      <c r="K45" s="48"/>
      <c r="L45" s="47" t="s">
        <v>150</v>
      </c>
    </row>
    <row r="46" spans="2:12" ht="15.75" customHeight="1" x14ac:dyDescent="0.25">
      <c r="B46" s="40" t="s">
        <v>151</v>
      </c>
      <c r="C46" s="50" t="s">
        <v>92</v>
      </c>
      <c r="D46" s="49">
        <v>30000</v>
      </c>
      <c r="E46" s="41">
        <f t="array" ref="E46">IF($D46="","",$D46*INDEX([1]Допущения!$C$25:$G$30,MATCH($C46,[1]Допущения!$B$25:$B$30,0),1))</f>
        <v>30000</v>
      </c>
      <c r="F46" s="41">
        <f t="array" ref="F46">IF($D46="","",$D46*INDEX([1]Допущения!$C$25:$G$30,MATCH($C46,[1]Допущения!$B$25:$B$30,0),2))</f>
        <v>33600</v>
      </c>
      <c r="G46" s="41">
        <f t="array" ref="G46">IF($D46="","",$D46*INDEX([1]Допущения!$C$25:$G$30,MATCH($C46,[1]Допущения!$B$25:$B$30,0),3))</f>
        <v>37632.000000000007</v>
      </c>
      <c r="H46" s="41">
        <f t="array" ref="H46">IF($D46="","",$D46*INDEX([1]Допущения!$C$25:$G$30,MATCH($C46,[1]Допущения!$B$25:$B$30,0),4))</f>
        <v>42147.840000000011</v>
      </c>
      <c r="I46" s="41">
        <f t="array" ref="I46">IF($D46="","",$D46*INDEX([1]Допущения!$C$25:$G$30,MATCH($C46,[1]Допущения!$B$25:$B$30,0),5))</f>
        <v>47205.580800000018</v>
      </c>
      <c r="J46" s="41">
        <f>SUM(E46:I46)</f>
        <v>190585.42080000005</v>
      </c>
      <c r="K46" s="48"/>
      <c r="L46" s="47" t="s">
        <v>152</v>
      </c>
    </row>
    <row r="47" spans="2:12" ht="15.75" customHeight="1" x14ac:dyDescent="0.25">
      <c r="B47" s="40"/>
      <c r="C47" s="50" t="s">
        <v>88</v>
      </c>
      <c r="D47" s="49"/>
      <c r="E47" s="41" t="str">
        <f t="array" ref="E47">IF($D47="","",$D47*INDEX([1]Допущения!$C$25:$G$30,MATCH($C47,[1]Допущения!$B$25:$B$30,0),1))</f>
        <v/>
      </c>
      <c r="F47" s="41" t="str">
        <f t="array" ref="F47">IF($D47="","",$D47*INDEX([1]Допущения!$C$25:$G$30,MATCH($C47,[1]Допущения!$B$25:$B$30,0),2))</f>
        <v/>
      </c>
      <c r="G47" s="41" t="str">
        <f t="array" ref="G47">IF($D47="","",$D47*INDEX([1]Допущения!$C$25:$G$30,MATCH($C47,[1]Допущения!$B$25:$B$30,0),3))</f>
        <v/>
      </c>
      <c r="H47" s="41" t="str">
        <f t="array" ref="H47">IF($D47="","",$D47*INDEX([1]Допущения!$C$25:$G$30,MATCH($C47,[1]Допущения!$B$25:$B$30,0),4))</f>
        <v/>
      </c>
      <c r="I47" s="41" t="str">
        <f t="array" ref="I47">IF($D47="","",$D47*INDEX([1]Допущения!$C$25:$G$30,MATCH($C47,[1]Допущения!$B$25:$B$30,0),5))</f>
        <v/>
      </c>
      <c r="J47" s="41">
        <f>SUM(E47:I47)</f>
        <v>0</v>
      </c>
      <c r="K47" s="48"/>
      <c r="L47" s="47" t="s">
        <v>113</v>
      </c>
    </row>
    <row r="48" spans="2:12" ht="15.75" customHeight="1" x14ac:dyDescent="0.25">
      <c r="B48" s="38" t="s">
        <v>114</v>
      </c>
      <c r="C48" s="45"/>
      <c r="D48" s="45"/>
      <c r="E48" s="37">
        <f t="shared" ref="E48:J48" si="6">SUM(E43:E47)</f>
        <v>90000</v>
      </c>
      <c r="F48" s="37">
        <f t="shared" si="6"/>
        <v>94800</v>
      </c>
      <c r="G48" s="37">
        <f t="shared" si="6"/>
        <v>100128</v>
      </c>
      <c r="H48" s="37">
        <f t="shared" si="6"/>
        <v>106043.52000000002</v>
      </c>
      <c r="I48" s="37">
        <f t="shared" si="6"/>
        <v>112612.91520000002</v>
      </c>
      <c r="J48" s="37">
        <f t="shared" si="6"/>
        <v>503584.43520000007</v>
      </c>
      <c r="K48" s="46">
        <f>IFERROR(J48/$J$51,0)</f>
        <v>8.5607251427156673E-3</v>
      </c>
      <c r="L48" s="45"/>
    </row>
    <row r="49" spans="2:12" ht="15.75" customHeight="1" x14ac:dyDescent="0.25">
      <c r="C49" s="43"/>
    </row>
    <row r="50" spans="2:12" ht="15.75" customHeight="1" x14ac:dyDescent="0.25">
      <c r="B50" s="34" t="s">
        <v>153</v>
      </c>
      <c r="C50" s="43"/>
      <c r="E50" s="42">
        <f>(E15+E24+E32+E40+E48)*[1]Допущения!$C$17</f>
        <v>208260</v>
      </c>
      <c r="F50" s="42">
        <f>(F15+F24+F32+F40+F48)*[1]Допущения!$C$17</f>
        <v>490820.39999999997</v>
      </c>
      <c r="G50" s="42">
        <f>(G15+G24+G32+G40+G48)*[1]Допущения!$C$17</f>
        <v>1236289.392</v>
      </c>
      <c r="H50" s="42">
        <f>(H15+H24+H32+H40+H48)*[1]Допущения!$C$17</f>
        <v>2305737.77856</v>
      </c>
      <c r="I50" s="42">
        <f>(I15+I24+I32+I40+I48)*[1]Допущения!$C$17</f>
        <v>3431715.1442687991</v>
      </c>
      <c r="J50" s="41">
        <f>SUM(E50:I50)</f>
        <v>7672822.7148287985</v>
      </c>
      <c r="L50" s="44" t="s">
        <v>154</v>
      </c>
    </row>
    <row r="51" spans="2:12" ht="15.75" customHeight="1" x14ac:dyDescent="0.25">
      <c r="B51" s="38" t="s">
        <v>155</v>
      </c>
      <c r="C51" s="43"/>
      <c r="E51" s="37">
        <f>E15+E24+E32+E40+E48+E50</f>
        <v>1596660</v>
      </c>
      <c r="F51" s="37">
        <f>F15+F24+F32+F40+F48+F50</f>
        <v>3762956.4</v>
      </c>
      <c r="G51" s="37">
        <f>G15+G24+G32+G40+G48+G50</f>
        <v>9478218.6720000003</v>
      </c>
      <c r="H51" s="37">
        <f>H15+H24+H32+H40+H48+H50</f>
        <v>17677322.968960002</v>
      </c>
      <c r="I51" s="37">
        <f>I15+I24+I32+I40+I48+I50</f>
        <v>26309816.106060795</v>
      </c>
      <c r="J51" s="37">
        <f>SUM(E51:I51)</f>
        <v>58824974.147020802</v>
      </c>
    </row>
    <row r="52" spans="2:12" ht="15.75" customHeight="1" x14ac:dyDescent="0.25">
      <c r="B52" s="36" t="s">
        <v>156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</row>
    <row r="53" spans="2:12" ht="15.75" customHeight="1" x14ac:dyDescent="0.25">
      <c r="B53" s="40" t="s">
        <v>157</v>
      </c>
      <c r="E53" s="42">
        <f>(1-[1]Допущения!$C$20)*525600*[1]Допущения!$C$19*[1]Допущения!$C$21</f>
        <v>630719.9999999305</v>
      </c>
      <c r="F53" s="42">
        <f>(1-[1]Допущения!$C$20)*525600*[1]Допущения!$C$19*[1]Допущения!$C$21</f>
        <v>630719.9999999305</v>
      </c>
      <c r="G53" s="42">
        <f>(1-[1]Допущения!$C$20)*525600*[1]Допущения!$C$19*[1]Допущения!$C$21</f>
        <v>630719.9999999305</v>
      </c>
      <c r="H53" s="42">
        <f>(1-[1]Допущения!$C$20)*525600*[1]Допущения!$C$19*[1]Допущения!$C$21</f>
        <v>630719.9999999305</v>
      </c>
      <c r="I53" s="42">
        <f>(1-[1]Допущения!$C$20)*525600*[1]Допущения!$C$19*[1]Допущения!$C$21</f>
        <v>630719.9999999305</v>
      </c>
      <c r="J53" s="41">
        <f>SUM(E53:I53)</f>
        <v>3153599.9999996526</v>
      </c>
      <c r="L53" s="33" t="s">
        <v>158</v>
      </c>
    </row>
    <row r="54" spans="2:12" ht="15.75" customHeight="1" x14ac:dyDescent="0.25">
      <c r="B54" s="38" t="s">
        <v>159</v>
      </c>
      <c r="E54" s="37">
        <f>E51+E53</f>
        <v>2227379.9999999306</v>
      </c>
      <c r="F54" s="37">
        <f>F51+F53</f>
        <v>4393676.3999999305</v>
      </c>
      <c r="G54" s="37">
        <f>G51+G53</f>
        <v>10108938.671999931</v>
      </c>
      <c r="H54" s="37">
        <f>H51+H53</f>
        <v>18308042.968959931</v>
      </c>
      <c r="I54" s="37">
        <f>I51+I53</f>
        <v>26940536.106060725</v>
      </c>
      <c r="J54" s="37">
        <f>SUM(E54:I54)</f>
        <v>61978574.147020444</v>
      </c>
    </row>
    <row r="55" spans="2:12" ht="15.75" customHeight="1" x14ac:dyDescent="0.25">
      <c r="B55" s="40" t="s">
        <v>160</v>
      </c>
      <c r="E55" s="39">
        <f>1/(1+[1]Допущения!$C$16)^0</f>
        <v>1</v>
      </c>
      <c r="F55" s="39">
        <f>1/(1+[1]Допущения!$C$16)^1</f>
        <v>0.83333333333333337</v>
      </c>
      <c r="G55" s="39">
        <f>1/(1+[1]Допущения!$C$16)^2</f>
        <v>0.69444444444444442</v>
      </c>
      <c r="H55" s="39">
        <f>1/(1+[1]Допущения!$C$16)^3</f>
        <v>0.57870370370370372</v>
      </c>
      <c r="I55" s="39">
        <f>1/(1+[1]Допущения!$C$16)^4</f>
        <v>0.48225308641975312</v>
      </c>
    </row>
    <row r="56" spans="2:12" ht="15.75" customHeight="1" x14ac:dyDescent="0.25">
      <c r="B56" s="38" t="s">
        <v>161</v>
      </c>
      <c r="E56" s="37">
        <f>E54*E55</f>
        <v>2227379.9999999306</v>
      </c>
      <c r="F56" s="37">
        <f>F54*F55</f>
        <v>3661396.9999999423</v>
      </c>
      <c r="G56" s="37">
        <f>G54*G55</f>
        <v>7020096.2999999523</v>
      </c>
      <c r="H56" s="37">
        <f>H54*H55</f>
        <v>10594932.273703665</v>
      </c>
      <c r="I56" s="37">
        <f>I54*I55</f>
        <v>12992156.686950581</v>
      </c>
      <c r="J56" s="37">
        <f>SUM(E56:I56)</f>
        <v>36495962.260654069</v>
      </c>
    </row>
    <row r="57" spans="2:12" ht="15.75" customHeight="1" x14ac:dyDescent="0.25"/>
    <row r="58" spans="2:12" ht="15.75" customHeight="1" x14ac:dyDescent="0.25">
      <c r="B58" s="36" t="s">
        <v>162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2:12" ht="15.75" customHeight="1" x14ac:dyDescent="0.25">
      <c r="B59" s="34" t="s">
        <v>163</v>
      </c>
      <c r="E59" s="84">
        <f>J51</f>
        <v>58824974.147020802</v>
      </c>
      <c r="F59" s="72"/>
      <c r="L59" s="33" t="s">
        <v>164</v>
      </c>
    </row>
    <row r="60" spans="2:12" ht="15.75" customHeight="1" x14ac:dyDescent="0.25">
      <c r="B60" s="34" t="s">
        <v>165</v>
      </c>
      <c r="E60" s="84">
        <f>J54</f>
        <v>61978574.147020444</v>
      </c>
      <c r="F60" s="72"/>
      <c r="L60" s="33" t="s">
        <v>166</v>
      </c>
    </row>
    <row r="61" spans="2:12" ht="15.75" customHeight="1" x14ac:dyDescent="0.25">
      <c r="B61" s="34" t="s">
        <v>167</v>
      </c>
      <c r="E61" s="84">
        <f>J56</f>
        <v>36495962.260654069</v>
      </c>
      <c r="F61" s="72"/>
      <c r="L61" s="33" t="s">
        <v>168</v>
      </c>
    </row>
    <row r="62" spans="2:12" ht="15.75" customHeight="1" x14ac:dyDescent="0.25">
      <c r="B62" s="34" t="s">
        <v>169</v>
      </c>
      <c r="E62" s="84">
        <f>J51/5</f>
        <v>11764994.82940416</v>
      </c>
      <c r="F62" s="72"/>
      <c r="L62" s="33" t="s">
        <v>170</v>
      </c>
    </row>
    <row r="63" spans="2:12" ht="15.75" customHeight="1" x14ac:dyDescent="0.25">
      <c r="B63" s="34" t="s">
        <v>171</v>
      </c>
      <c r="E63" s="84">
        <f>E15/12</f>
        <v>8583.3333333333339</v>
      </c>
      <c r="F63" s="72"/>
      <c r="L63" s="33" t="s">
        <v>172</v>
      </c>
    </row>
    <row r="64" spans="2:12" ht="15.75" customHeight="1" x14ac:dyDescent="0.25">
      <c r="B64" s="34" t="s">
        <v>173</v>
      </c>
      <c r="E64" s="85" t="str">
        <f>IF(E15/12&lt;=[1]Допущения!$C$18,"В бюджете CFO","ПРЕВЫШЕНИЕ бюджета")</f>
        <v>В бюджете CFO</v>
      </c>
      <c r="F64" s="72"/>
      <c r="L64" s="33" t="s">
        <v>174</v>
      </c>
    </row>
    <row r="65" spans="2:12" ht="15.75" customHeight="1" x14ac:dyDescent="0.25">
      <c r="B65" s="34" t="s">
        <v>175</v>
      </c>
      <c r="E65" s="86">
        <f>IFERROR(J51/SUM([1]Допущения!$C$8:$G$8),0)</f>
        <v>1.5439625760372915</v>
      </c>
      <c r="F65" s="72"/>
      <c r="L65" s="33" t="s">
        <v>176</v>
      </c>
    </row>
    <row r="66" spans="2:12" ht="15.75" customHeight="1" x14ac:dyDescent="0.25">
      <c r="B66" s="34" t="s">
        <v>177</v>
      </c>
      <c r="E66" s="86">
        <f>IFERROR(I51/[1]Допущения!$G$7,0)</f>
        <v>7.5170903160173701</v>
      </c>
      <c r="F66" s="72"/>
      <c r="L66" s="33" t="s">
        <v>178</v>
      </c>
    </row>
    <row r="67" spans="2:12" ht="15.75" customHeight="1" x14ac:dyDescent="0.25">
      <c r="B67" s="34" t="s">
        <v>179</v>
      </c>
      <c r="E67" s="71">
        <f>IFERROR(J51/SUM([1]Допущения!$C$10:$G$10),0)</f>
        <v>5.475656161874784E-2</v>
      </c>
      <c r="F67" s="72"/>
      <c r="L67" s="33" t="s">
        <v>180</v>
      </c>
    </row>
    <row r="68" spans="2:12" ht="15.75" customHeight="1" x14ac:dyDescent="0.25">
      <c r="B68" s="34" t="s">
        <v>181</v>
      </c>
      <c r="E68" s="73">
        <f>IFERROR(J15/J51,0)</f>
        <v>8.6279667524121542E-2</v>
      </c>
      <c r="F68" s="72"/>
      <c r="L68" s="33" t="s">
        <v>182</v>
      </c>
    </row>
    <row r="69" spans="2:12" ht="15.75" customHeight="1" x14ac:dyDescent="0.25">
      <c r="B69" s="34" t="s">
        <v>183</v>
      </c>
      <c r="E69" s="73">
        <f>IFERROR(J32/J51,0)</f>
        <v>0.6579858395392133</v>
      </c>
      <c r="F69" s="72"/>
      <c r="L69" s="33" t="s">
        <v>184</v>
      </c>
    </row>
    <row r="70" spans="2:12" ht="15.75" customHeight="1" x14ac:dyDescent="0.25">
      <c r="B70" s="34" t="s">
        <v>185</v>
      </c>
      <c r="E70" s="73">
        <f>IFERROR(J40/J51,0)</f>
        <v>9.5900228389062647E-2</v>
      </c>
      <c r="F70" s="72"/>
      <c r="L70" s="33" t="s">
        <v>186</v>
      </c>
    </row>
    <row r="71" spans="2:12" ht="15.75" customHeight="1" x14ac:dyDescent="0.25"/>
    <row r="72" spans="2:12" ht="15.75" customHeight="1" x14ac:dyDescent="0.25">
      <c r="B72" s="74" t="s">
        <v>187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</row>
    <row r="73" spans="2:12" ht="15" customHeight="1" x14ac:dyDescent="0.25">
      <c r="B73" s="76" t="s">
        <v>188</v>
      </c>
      <c r="C73" s="77"/>
      <c r="D73" s="77"/>
      <c r="E73" s="77"/>
      <c r="F73" s="77"/>
      <c r="G73" s="77"/>
      <c r="H73" s="77"/>
      <c r="I73" s="77"/>
      <c r="J73" s="77"/>
      <c r="K73" s="77"/>
      <c r="L73" s="78"/>
    </row>
    <row r="74" spans="2:12" ht="15.75" customHeight="1" x14ac:dyDescent="0.25">
      <c r="B74" s="79"/>
      <c r="C74" s="75"/>
      <c r="D74" s="75"/>
      <c r="E74" s="75"/>
      <c r="F74" s="75"/>
      <c r="G74" s="75"/>
      <c r="H74" s="75"/>
      <c r="I74" s="75"/>
      <c r="J74" s="75"/>
      <c r="K74" s="75"/>
      <c r="L74" s="80"/>
    </row>
    <row r="75" spans="2:12" ht="15.75" customHeight="1" x14ac:dyDescent="0.25">
      <c r="B75" s="81"/>
      <c r="C75" s="82"/>
      <c r="D75" s="82"/>
      <c r="E75" s="82"/>
      <c r="F75" s="82"/>
      <c r="G75" s="82"/>
      <c r="H75" s="82"/>
      <c r="I75" s="82"/>
      <c r="J75" s="82"/>
      <c r="K75" s="82"/>
      <c r="L75" s="83"/>
    </row>
    <row r="76" spans="2:12" ht="15.75" customHeight="1" x14ac:dyDescent="0.25"/>
    <row r="77" spans="2:12" ht="15.75" customHeight="1" x14ac:dyDescent="0.25"/>
    <row r="78" spans="2:12" ht="15.75" customHeight="1" x14ac:dyDescent="0.25"/>
    <row r="79" spans="2:12" ht="15.75" customHeight="1" x14ac:dyDescent="0.25"/>
    <row r="80" spans="2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B73:L75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B72:L72"/>
  </mergeCells>
  <dataValidations count="1">
    <dataValidation type="list" allowBlank="1" sqref="C6:C51">
      <formula1>"фикс,инфляция,ФОТ,пользователи,заказы,GMV"</formula1>
    </dataValidation>
  </dataValidation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000"/>
  <sheetViews>
    <sheetView showGridLines="0" workbookViewId="0">
      <pane xSplit="2" ySplit="5" topLeftCell="C45" activePane="bottomRight" state="frozen"/>
      <selection pane="topRight" activeCell="C1" sqref="C1"/>
      <selection pane="bottomLeft" activeCell="A6" sqref="A6"/>
      <selection pane="bottomRight" activeCell="L60" sqref="L60"/>
    </sheetView>
  </sheetViews>
  <sheetFormatPr defaultColWidth="14.42578125" defaultRowHeight="15" customHeight="1" x14ac:dyDescent="0.25"/>
  <cols>
    <col min="1" max="1" width="3" style="32" customWidth="1"/>
    <col min="2" max="2" width="53.7109375" style="32" customWidth="1"/>
    <col min="3" max="3" width="16" style="32" customWidth="1"/>
    <col min="4" max="4" width="15" style="32" customWidth="1"/>
    <col min="5" max="10" width="14" style="32" customWidth="1"/>
    <col min="11" max="11" width="10" style="32" customWidth="1"/>
    <col min="12" max="12" width="46" style="32" customWidth="1"/>
    <col min="13" max="26" width="8.7109375" style="32" customWidth="1"/>
    <col min="27" max="16384" width="14.42578125" style="32"/>
  </cols>
  <sheetData>
    <row r="2" spans="2:12" ht="18" x14ac:dyDescent="0.25">
      <c r="B2" s="52" t="s">
        <v>1</v>
      </c>
    </row>
    <row r="3" spans="2:12" x14ac:dyDescent="0.25">
      <c r="B3" s="44" t="s">
        <v>5</v>
      </c>
    </row>
    <row r="5" spans="2:12" ht="31.5" customHeight="1" x14ac:dyDescent="0.25">
      <c r="B5" s="51" t="s">
        <v>41</v>
      </c>
      <c r="C5" s="51" t="s">
        <v>49</v>
      </c>
      <c r="D5" s="51" t="s">
        <v>52</v>
      </c>
      <c r="E5" s="51" t="s">
        <v>42</v>
      </c>
      <c r="F5" s="51" t="s">
        <v>44</v>
      </c>
      <c r="G5" s="51" t="s">
        <v>46</v>
      </c>
      <c r="H5" s="51" t="s">
        <v>47</v>
      </c>
      <c r="I5" s="51" t="s">
        <v>48</v>
      </c>
      <c r="J5" s="51" t="s">
        <v>60</v>
      </c>
      <c r="K5" s="51" t="s">
        <v>61</v>
      </c>
      <c r="L5" s="51" t="s">
        <v>50</v>
      </c>
    </row>
    <row r="6" spans="2:12" x14ac:dyDescent="0.25">
      <c r="B6" s="36" t="s">
        <v>62</v>
      </c>
      <c r="C6" s="35"/>
      <c r="D6" s="35"/>
      <c r="E6" s="35"/>
      <c r="F6" s="35"/>
      <c r="G6" s="35"/>
      <c r="H6" s="35"/>
      <c r="I6" s="35"/>
      <c r="J6" s="35"/>
      <c r="K6" s="35"/>
      <c r="L6" s="35"/>
    </row>
    <row r="7" spans="2:12" x14ac:dyDescent="0.25">
      <c r="B7" s="40" t="s">
        <v>63</v>
      </c>
      <c r="C7" s="50" t="s">
        <v>64</v>
      </c>
      <c r="D7" s="49">
        <v>30000</v>
      </c>
      <c r="E7" s="41">
        <f t="array" ref="E7">IF($D7="","",$D7*INDEX([2]Допущения!$C$25:$G$30,MATCH($C7,[2]Допущения!$B$25:$B$30,0),1))</f>
        <v>30000</v>
      </c>
      <c r="F7" s="41">
        <f t="array" ref="F7">IF($D7="","",$D7*INDEX([2]Допущения!$C$25:$G$30,MATCH($C7,[2]Допущения!$B$25:$B$30,0),2))</f>
        <v>120000</v>
      </c>
      <c r="G7" s="41">
        <f t="array" ref="G7">IF($D7="","",$D7*INDEX([2]Допущения!$C$25:$G$30,MATCH($C7,[2]Допущения!$B$25:$B$30,0),3))</f>
        <v>300000</v>
      </c>
      <c r="H7" s="41">
        <f t="array" ref="H7">IF($D7="","",$D7*INDEX([2]Допущения!$C$25:$G$30,MATCH($C7,[2]Допущения!$B$25:$B$30,0),4))</f>
        <v>500000.00000000006</v>
      </c>
      <c r="I7" s="41">
        <f t="array" ref="I7">IF($D7="","",$D7*INDEX([2]Допущения!$C$25:$G$30,MATCH($C7,[2]Допущения!$B$25:$B$30,0),5))</f>
        <v>700000</v>
      </c>
      <c r="J7" s="41">
        <f t="shared" ref="J7:J14" si="0">SUM(E7:I7)</f>
        <v>1650000</v>
      </c>
      <c r="K7" s="48"/>
      <c r="L7" s="47" t="s">
        <v>100</v>
      </c>
    </row>
    <row r="8" spans="2:12" x14ac:dyDescent="0.25">
      <c r="B8" s="40" t="s">
        <v>101</v>
      </c>
      <c r="C8" s="50" t="s">
        <v>64</v>
      </c>
      <c r="D8" s="49">
        <v>18000</v>
      </c>
      <c r="E8" s="41">
        <f t="array" ref="E8">IF($D8="","",$D8*INDEX([2]Допущения!$C$25:$G$30,MATCH($C8,[2]Допущения!$B$25:$B$30,0),1))</f>
        <v>18000</v>
      </c>
      <c r="F8" s="41">
        <f t="array" ref="F8">IF($D8="","",$D8*INDEX([2]Допущения!$C$25:$G$30,MATCH($C8,[2]Допущения!$B$25:$B$30,0),2))</f>
        <v>72000</v>
      </c>
      <c r="G8" s="41">
        <f t="array" ref="G8">IF($D8="","",$D8*INDEX([2]Допущения!$C$25:$G$30,MATCH($C8,[2]Допущения!$B$25:$B$30,0),3))</f>
        <v>180000</v>
      </c>
      <c r="H8" s="41">
        <f t="array" ref="H8">IF($D8="","",$D8*INDEX([2]Допущения!$C$25:$G$30,MATCH($C8,[2]Допущения!$B$25:$B$30,0),4))</f>
        <v>300000</v>
      </c>
      <c r="I8" s="41">
        <f t="array" ref="I8">IF($D8="","",$D8*INDEX([2]Допущения!$C$25:$G$30,MATCH($C8,[2]Допущения!$B$25:$B$30,0),5))</f>
        <v>420000</v>
      </c>
      <c r="J8" s="41">
        <f t="shared" si="0"/>
        <v>990000</v>
      </c>
      <c r="K8" s="48"/>
      <c r="L8" s="47" t="s">
        <v>102</v>
      </c>
    </row>
    <row r="9" spans="2:12" x14ac:dyDescent="0.25">
      <c r="B9" s="40" t="s">
        <v>103</v>
      </c>
      <c r="C9" s="50" t="s">
        <v>64</v>
      </c>
      <c r="D9" s="49">
        <v>6000</v>
      </c>
      <c r="E9" s="41">
        <f t="array" ref="E9">IF($D9="","",$D9*INDEX([2]Допущения!$C$25:$G$30,MATCH($C9,[2]Допущения!$B$25:$B$30,0),1))</f>
        <v>6000</v>
      </c>
      <c r="F9" s="41">
        <f t="array" ref="F9">IF($D9="","",$D9*INDEX([2]Допущения!$C$25:$G$30,MATCH($C9,[2]Допущения!$B$25:$B$30,0),2))</f>
        <v>24000</v>
      </c>
      <c r="G9" s="41">
        <f t="array" ref="G9">IF($D9="","",$D9*INDEX([2]Допущения!$C$25:$G$30,MATCH($C9,[2]Допущения!$B$25:$B$30,0),3))</f>
        <v>60000</v>
      </c>
      <c r="H9" s="41">
        <f t="array" ref="H9">IF($D9="","",$D9*INDEX([2]Допущения!$C$25:$G$30,MATCH($C9,[2]Допущения!$B$25:$B$30,0),4))</f>
        <v>100000</v>
      </c>
      <c r="I9" s="41">
        <f t="array" ref="I9">IF($D9="","",$D9*INDEX([2]Допущения!$C$25:$G$30,MATCH($C9,[2]Допущения!$B$25:$B$30,0),5))</f>
        <v>140000</v>
      </c>
      <c r="J9" s="41">
        <f t="shared" si="0"/>
        <v>330000</v>
      </c>
      <c r="K9" s="48"/>
      <c r="L9" s="47" t="s">
        <v>104</v>
      </c>
    </row>
    <row r="10" spans="2:12" x14ac:dyDescent="0.25">
      <c r="B10" s="40" t="s">
        <v>105</v>
      </c>
      <c r="C10" s="50" t="s">
        <v>64</v>
      </c>
      <c r="D10" s="49">
        <v>15000</v>
      </c>
      <c r="E10" s="41">
        <f t="array" ref="E10">IF($D10="","",$D10*INDEX([2]Допущения!$C$25:$G$30,MATCH($C10,[2]Допущения!$B$25:$B$30,0),1))</f>
        <v>15000</v>
      </c>
      <c r="F10" s="41">
        <f t="array" ref="F10">IF($D10="","",$D10*INDEX([2]Допущения!$C$25:$G$30,MATCH($C10,[2]Допущения!$B$25:$B$30,0),2))</f>
        <v>60000</v>
      </c>
      <c r="G10" s="41">
        <f t="array" ref="G10">IF($D10="","",$D10*INDEX([2]Допущения!$C$25:$G$30,MATCH($C10,[2]Допущения!$B$25:$B$30,0),3))</f>
        <v>150000</v>
      </c>
      <c r="H10" s="41">
        <f t="array" ref="H10">IF($D10="","",$D10*INDEX([2]Допущения!$C$25:$G$30,MATCH($C10,[2]Допущения!$B$25:$B$30,0),4))</f>
        <v>250000.00000000003</v>
      </c>
      <c r="I10" s="41">
        <f t="array" ref="I10">IF($D10="","",$D10*INDEX([2]Допущения!$C$25:$G$30,MATCH($C10,[2]Допущения!$B$25:$B$30,0),5))</f>
        <v>350000</v>
      </c>
      <c r="J10" s="41">
        <f t="shared" si="0"/>
        <v>825000</v>
      </c>
      <c r="K10" s="48"/>
      <c r="L10" s="47" t="s">
        <v>106</v>
      </c>
    </row>
    <row r="11" spans="2:12" x14ac:dyDescent="0.25">
      <c r="B11" s="40" t="s">
        <v>107</v>
      </c>
      <c r="C11" s="50" t="s">
        <v>64</v>
      </c>
      <c r="D11" s="49">
        <v>12000</v>
      </c>
      <c r="E11" s="41">
        <f t="array" ref="E11">IF($D11="","",$D11*INDEX([2]Допущения!$C$25:$G$30,MATCH($C11,[2]Допущения!$B$25:$B$30,0),1))</f>
        <v>12000</v>
      </c>
      <c r="F11" s="41">
        <f t="array" ref="F11">IF($D11="","",$D11*INDEX([2]Допущения!$C$25:$G$30,MATCH($C11,[2]Допущения!$B$25:$B$30,0),2))</f>
        <v>48000</v>
      </c>
      <c r="G11" s="41">
        <f t="array" ref="G11">IF($D11="","",$D11*INDEX([2]Допущения!$C$25:$G$30,MATCH($C11,[2]Допущения!$B$25:$B$30,0),3))</f>
        <v>120000</v>
      </c>
      <c r="H11" s="41">
        <f t="array" ref="H11">IF($D11="","",$D11*INDEX([2]Допущения!$C$25:$G$30,MATCH($C11,[2]Допущения!$B$25:$B$30,0),4))</f>
        <v>200000</v>
      </c>
      <c r="I11" s="41">
        <f t="array" ref="I11">IF($D11="","",$D11*INDEX([2]Допущения!$C$25:$G$30,MATCH($C11,[2]Допущения!$B$25:$B$30,0),5))</f>
        <v>280000</v>
      </c>
      <c r="J11" s="41">
        <f t="shared" si="0"/>
        <v>660000</v>
      </c>
      <c r="K11" s="48"/>
      <c r="L11" s="47" t="s">
        <v>108</v>
      </c>
    </row>
    <row r="12" spans="2:12" x14ac:dyDescent="0.25">
      <c r="B12" s="40" t="s">
        <v>109</v>
      </c>
      <c r="C12" s="50" t="s">
        <v>64</v>
      </c>
      <c r="D12" s="49">
        <v>24000</v>
      </c>
      <c r="E12" s="41">
        <f t="array" ref="E12">IF($D12="","",$D12*INDEX([2]Допущения!$C$25:$G$30,MATCH($C12,[2]Допущения!$B$25:$B$30,0),1))</f>
        <v>24000</v>
      </c>
      <c r="F12" s="41">
        <f t="array" ref="F12">IF($D12="","",$D12*INDEX([2]Допущения!$C$25:$G$30,MATCH($C12,[2]Допущения!$B$25:$B$30,0),2))</f>
        <v>96000</v>
      </c>
      <c r="G12" s="41">
        <f t="array" ref="G12">IF($D12="","",$D12*INDEX([2]Допущения!$C$25:$G$30,MATCH($C12,[2]Допущения!$B$25:$B$30,0),3))</f>
        <v>240000</v>
      </c>
      <c r="H12" s="41">
        <f t="array" ref="H12">IF($D12="","",$D12*INDEX([2]Допущения!$C$25:$G$30,MATCH($C12,[2]Допущения!$B$25:$B$30,0),4))</f>
        <v>400000</v>
      </c>
      <c r="I12" s="41">
        <f t="array" ref="I12">IF($D12="","",$D12*INDEX([2]Допущения!$C$25:$G$30,MATCH($C12,[2]Допущения!$B$25:$B$30,0),5))</f>
        <v>560000</v>
      </c>
      <c r="J12" s="41">
        <f t="shared" si="0"/>
        <v>1320000</v>
      </c>
      <c r="K12" s="48"/>
      <c r="L12" s="47" t="s">
        <v>110</v>
      </c>
    </row>
    <row r="13" spans="2:12" x14ac:dyDescent="0.25">
      <c r="B13" s="40" t="s">
        <v>111</v>
      </c>
      <c r="C13" s="50" t="s">
        <v>90</v>
      </c>
      <c r="D13" s="49">
        <v>18000</v>
      </c>
      <c r="E13" s="41">
        <f t="array" ref="E13">IF($D13="","",$D13*INDEX([2]Допущения!$C$25:$G$30,MATCH($C13,[2]Допущения!$B$25:$B$30,0),1))</f>
        <v>18000</v>
      </c>
      <c r="F13" s="41">
        <f t="array" ref="F13">IF($D13="","",$D13*INDEX([2]Допущения!$C$25:$G$30,MATCH($C13,[2]Допущения!$B$25:$B$30,0),2))</f>
        <v>19440</v>
      </c>
      <c r="G13" s="41">
        <f t="array" ref="G13">IF($D13="","",$D13*INDEX([2]Допущения!$C$25:$G$30,MATCH($C13,[2]Допущения!$B$25:$B$30,0),3))</f>
        <v>20995.200000000001</v>
      </c>
      <c r="H13" s="41">
        <f t="array" ref="H13">IF($D13="","",$D13*INDEX([2]Допущения!$C$25:$G$30,MATCH($C13,[2]Допущения!$B$25:$B$30,0),4))</f>
        <v>22674.816000000003</v>
      </c>
      <c r="I13" s="41">
        <f t="array" ref="I13">IF($D13="","",$D13*INDEX([2]Допущения!$C$25:$G$30,MATCH($C13,[2]Допущения!$B$25:$B$30,0),5))</f>
        <v>24488.801280000007</v>
      </c>
      <c r="J13" s="41">
        <f t="shared" si="0"/>
        <v>105598.81728000002</v>
      </c>
      <c r="K13" s="48"/>
      <c r="L13" s="47" t="s">
        <v>112</v>
      </c>
    </row>
    <row r="14" spans="2:12" x14ac:dyDescent="0.25">
      <c r="B14" s="40"/>
      <c r="C14" s="50" t="s">
        <v>88</v>
      </c>
      <c r="D14" s="49"/>
      <c r="E14" s="41" t="str">
        <f t="array" ref="E14">IF($D14="","",$D14*INDEX([2]Допущения!$C$25:$G$30,MATCH($C14,[2]Допущения!$B$25:$B$30,0),1))</f>
        <v/>
      </c>
      <c r="F14" s="41" t="str">
        <f t="array" ref="F14">IF($D14="","",$D14*INDEX([2]Допущения!$C$25:$G$30,MATCH($C14,[2]Допущения!$B$25:$B$30,0),2))</f>
        <v/>
      </c>
      <c r="G14" s="41" t="str">
        <f t="array" ref="G14">IF($D14="","",$D14*INDEX([2]Допущения!$C$25:$G$30,MATCH($C14,[2]Допущения!$B$25:$B$30,0),3))</f>
        <v/>
      </c>
      <c r="H14" s="41" t="str">
        <f t="array" ref="H14">IF($D14="","",$D14*INDEX([2]Допущения!$C$25:$G$30,MATCH($C14,[2]Допущения!$B$25:$B$30,0),4))</f>
        <v/>
      </c>
      <c r="I14" s="41" t="str">
        <f t="array" ref="I14">IF($D14="","",$D14*INDEX([2]Допущения!$C$25:$G$30,MATCH($C14,[2]Допущения!$B$25:$B$30,0),5))</f>
        <v/>
      </c>
      <c r="J14" s="41">
        <f t="shared" si="0"/>
        <v>0</v>
      </c>
      <c r="K14" s="48"/>
      <c r="L14" s="47" t="s">
        <v>113</v>
      </c>
    </row>
    <row r="15" spans="2:12" x14ac:dyDescent="0.25">
      <c r="B15" s="38" t="s">
        <v>114</v>
      </c>
      <c r="C15" s="45"/>
      <c r="D15" s="45"/>
      <c r="E15" s="37">
        <f t="shared" ref="E15:J15" si="1">SUM(E7:E14)</f>
        <v>123000</v>
      </c>
      <c r="F15" s="37">
        <f t="shared" si="1"/>
        <v>439440</v>
      </c>
      <c r="G15" s="37">
        <f t="shared" si="1"/>
        <v>1070995.2</v>
      </c>
      <c r="H15" s="37">
        <f t="shared" si="1"/>
        <v>1772674.8160000001</v>
      </c>
      <c r="I15" s="37">
        <f t="shared" si="1"/>
        <v>2474488.8012799998</v>
      </c>
      <c r="J15" s="37">
        <f t="shared" si="1"/>
        <v>5880598.8172800001</v>
      </c>
      <c r="K15" s="46">
        <f>IFERROR(J15/$J$51,0)</f>
        <v>9.0625253474794887E-2</v>
      </c>
      <c r="L15" s="45"/>
    </row>
    <row r="16" spans="2:12" x14ac:dyDescent="0.25">
      <c r="C16" s="43"/>
    </row>
    <row r="17" spans="2:12" x14ac:dyDescent="0.25">
      <c r="B17" s="36" t="s">
        <v>115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2:12" x14ac:dyDescent="0.25">
      <c r="B18" s="40" t="s">
        <v>116</v>
      </c>
      <c r="C18" s="50" t="s">
        <v>64</v>
      </c>
      <c r="D18" s="49">
        <v>18000</v>
      </c>
      <c r="E18" s="41">
        <f t="array" ref="E18">IF($D18="","",$D18*INDEX([2]Допущения!$C$25:$G$30,MATCH($C18,[2]Допущения!$B$25:$B$30,0),1))</f>
        <v>18000</v>
      </c>
      <c r="F18" s="41">
        <f t="array" ref="F18">IF($D18="","",$D18*INDEX([2]Допущения!$C$25:$G$30,MATCH($C18,[2]Допущения!$B$25:$B$30,0),2))</f>
        <v>72000</v>
      </c>
      <c r="G18" s="41">
        <f t="array" ref="G18">IF($D18="","",$D18*INDEX([2]Допущения!$C$25:$G$30,MATCH($C18,[2]Допущения!$B$25:$B$30,0),3))</f>
        <v>180000</v>
      </c>
      <c r="H18" s="41">
        <f t="array" ref="H18">IF($D18="","",$D18*INDEX([2]Допущения!$C$25:$G$30,MATCH($C18,[2]Допущения!$B$25:$B$30,0),4))</f>
        <v>300000</v>
      </c>
      <c r="I18" s="41">
        <f t="array" ref="I18">IF($D18="","",$D18*INDEX([2]Допущения!$C$25:$G$30,MATCH($C18,[2]Допущения!$B$25:$B$30,0),5))</f>
        <v>420000</v>
      </c>
      <c r="J18" s="41">
        <f t="shared" ref="J18:J23" si="2">SUM(E18:I18)</f>
        <v>990000</v>
      </c>
      <c r="K18" s="48"/>
      <c r="L18" s="47" t="s">
        <v>117</v>
      </c>
    </row>
    <row r="19" spans="2:12" x14ac:dyDescent="0.25">
      <c r="B19" s="40" t="s">
        <v>118</v>
      </c>
      <c r="C19" s="50" t="s">
        <v>90</v>
      </c>
      <c r="D19" s="49">
        <v>7200</v>
      </c>
      <c r="E19" s="41">
        <f t="array" ref="E19">IF($D19="","",$D19*INDEX([2]Допущения!$C$25:$G$30,MATCH($C19,[2]Допущения!$B$25:$B$30,0),1))</f>
        <v>7200</v>
      </c>
      <c r="F19" s="41">
        <f t="array" ref="F19">IF($D19="","",$D19*INDEX([2]Допущения!$C$25:$G$30,MATCH($C19,[2]Допущения!$B$25:$B$30,0),2))</f>
        <v>7776.0000000000009</v>
      </c>
      <c r="G19" s="41">
        <f t="array" ref="G19">IF($D19="","",$D19*INDEX([2]Допущения!$C$25:$G$30,MATCH($C19,[2]Допущения!$B$25:$B$30,0),3))</f>
        <v>8398.08</v>
      </c>
      <c r="H19" s="41">
        <f t="array" ref="H19">IF($D19="","",$D19*INDEX([2]Допущения!$C$25:$G$30,MATCH($C19,[2]Допущения!$B$25:$B$30,0),4))</f>
        <v>9069.9264000000003</v>
      </c>
      <c r="I19" s="41">
        <f t="array" ref="I19">IF($D19="","",$D19*INDEX([2]Допущения!$C$25:$G$30,MATCH($C19,[2]Допущения!$B$25:$B$30,0),5))</f>
        <v>9795.5205120000028</v>
      </c>
      <c r="J19" s="41">
        <f t="shared" si="2"/>
        <v>42239.526912000001</v>
      </c>
      <c r="K19" s="48"/>
      <c r="L19" s="47" t="s">
        <v>119</v>
      </c>
    </row>
    <row r="20" spans="2:12" x14ac:dyDescent="0.25">
      <c r="B20" s="40" t="s">
        <v>120</v>
      </c>
      <c r="C20" s="50" t="s">
        <v>64</v>
      </c>
      <c r="D20" s="49">
        <v>12000</v>
      </c>
      <c r="E20" s="41">
        <f t="array" ref="E20">IF($D20="","",$D20*INDEX([2]Допущения!$C$25:$G$30,MATCH($C20,[2]Допущения!$B$25:$B$30,0),1))</f>
        <v>12000</v>
      </c>
      <c r="F20" s="41">
        <f t="array" ref="F20">IF($D20="","",$D20*INDEX([2]Допущения!$C$25:$G$30,MATCH($C20,[2]Допущения!$B$25:$B$30,0),2))</f>
        <v>48000</v>
      </c>
      <c r="G20" s="41">
        <f t="array" ref="G20">IF($D20="","",$D20*INDEX([2]Допущения!$C$25:$G$30,MATCH($C20,[2]Допущения!$B$25:$B$30,0),3))</f>
        <v>120000</v>
      </c>
      <c r="H20" s="41">
        <f t="array" ref="H20">IF($D20="","",$D20*INDEX([2]Допущения!$C$25:$G$30,MATCH($C20,[2]Допущения!$B$25:$B$30,0),4))</f>
        <v>200000</v>
      </c>
      <c r="I20" s="41">
        <f t="array" ref="I20">IF($D20="","",$D20*INDEX([2]Допущения!$C$25:$G$30,MATCH($C20,[2]Допущения!$B$25:$B$30,0),5))</f>
        <v>280000</v>
      </c>
      <c r="J20" s="41">
        <f t="shared" si="2"/>
        <v>660000</v>
      </c>
      <c r="K20" s="48"/>
      <c r="L20" s="47" t="s">
        <v>121</v>
      </c>
    </row>
    <row r="21" spans="2:12" ht="15.75" customHeight="1" x14ac:dyDescent="0.25">
      <c r="B21" s="40" t="s">
        <v>122</v>
      </c>
      <c r="C21" s="50" t="s">
        <v>90</v>
      </c>
      <c r="D21" s="49">
        <v>3000</v>
      </c>
      <c r="E21" s="41">
        <f t="array" ref="E21">IF($D21="","",$D21*INDEX([2]Допущения!$C$25:$G$30,MATCH($C21,[2]Допущения!$B$25:$B$30,0),1))</f>
        <v>3000</v>
      </c>
      <c r="F21" s="41">
        <f t="array" ref="F21">IF($D21="","",$D21*INDEX([2]Допущения!$C$25:$G$30,MATCH($C21,[2]Допущения!$B$25:$B$30,0),2))</f>
        <v>3240</v>
      </c>
      <c r="G21" s="41">
        <f t="array" ref="G21">IF($D21="","",$D21*INDEX([2]Допущения!$C$25:$G$30,MATCH($C21,[2]Допущения!$B$25:$B$30,0),3))</f>
        <v>3499.2000000000003</v>
      </c>
      <c r="H21" s="41">
        <f t="array" ref="H21">IF($D21="","",$D21*INDEX([2]Допущения!$C$25:$G$30,MATCH($C21,[2]Допущения!$B$25:$B$30,0),4))</f>
        <v>3779.1360000000004</v>
      </c>
      <c r="I21" s="41">
        <f t="array" ref="I21">IF($D21="","",$D21*INDEX([2]Допущения!$C$25:$G$30,MATCH($C21,[2]Допущения!$B$25:$B$30,0),5))</f>
        <v>4081.4668800000009</v>
      </c>
      <c r="J21" s="41">
        <f t="shared" si="2"/>
        <v>17599.802880000003</v>
      </c>
      <c r="K21" s="48"/>
      <c r="L21" s="47" t="s">
        <v>123</v>
      </c>
    </row>
    <row r="22" spans="2:12" ht="15.75" customHeight="1" x14ac:dyDescent="0.25">
      <c r="B22" s="40" t="s">
        <v>124</v>
      </c>
      <c r="C22" s="50" t="s">
        <v>90</v>
      </c>
      <c r="D22" s="49">
        <v>4800</v>
      </c>
      <c r="E22" s="41">
        <f t="array" ref="E22">IF($D22="","",$D22*INDEX([2]Допущения!$C$25:$G$30,MATCH($C22,[2]Допущения!$B$25:$B$30,0),1))</f>
        <v>4800</v>
      </c>
      <c r="F22" s="41">
        <f t="array" ref="F22">IF($D22="","",$D22*INDEX([2]Допущения!$C$25:$G$30,MATCH($C22,[2]Допущения!$B$25:$B$30,0),2))</f>
        <v>5184</v>
      </c>
      <c r="G22" s="41">
        <f t="array" ref="G22">IF($D22="","",$D22*INDEX([2]Допущения!$C$25:$G$30,MATCH($C22,[2]Допущения!$B$25:$B$30,0),3))</f>
        <v>5598.72</v>
      </c>
      <c r="H22" s="41">
        <f t="array" ref="H22">IF($D22="","",$D22*INDEX([2]Допущения!$C$25:$G$30,MATCH($C22,[2]Допущения!$B$25:$B$30,0),4))</f>
        <v>6046.6176000000005</v>
      </c>
      <c r="I22" s="41">
        <f t="array" ref="I22">IF($D22="","",$D22*INDEX([2]Допущения!$C$25:$G$30,MATCH($C22,[2]Допущения!$B$25:$B$30,0),5))</f>
        <v>6530.3470080000016</v>
      </c>
      <c r="J22" s="41">
        <f t="shared" si="2"/>
        <v>28159.684608000003</v>
      </c>
      <c r="K22" s="48"/>
      <c r="L22" s="47" t="s">
        <v>125</v>
      </c>
    </row>
    <row r="23" spans="2:12" ht="15.75" customHeight="1" x14ac:dyDescent="0.25">
      <c r="B23" s="40" t="s">
        <v>189</v>
      </c>
      <c r="C23" s="50" t="s">
        <v>90</v>
      </c>
      <c r="D23" s="49">
        <v>200000</v>
      </c>
      <c r="E23" s="41">
        <f t="array" ref="E23">IF($D23="","",$D23*INDEX([2]Допущения!$C$25:$G$30,MATCH($C23,[2]Допущения!$B$25:$B$30,0),1))</f>
        <v>200000</v>
      </c>
      <c r="F23" s="41">
        <f t="array" ref="F23">IF($D23="","",$D23*INDEX([2]Допущения!$C$25:$G$30,MATCH($C23,[2]Допущения!$B$25:$B$30,0),2))</f>
        <v>216000</v>
      </c>
      <c r="G23" s="41">
        <f t="array" ref="G23">IF($D23="","",$D23*INDEX([2]Допущения!$C$25:$G$30,MATCH($C23,[2]Допущения!$B$25:$B$30,0),3))</f>
        <v>233280.00000000003</v>
      </c>
      <c r="H23" s="41">
        <f t="array" ref="H23">IF($D23="","",$D23*INDEX([2]Допущения!$C$25:$G$30,MATCH($C23,[2]Допущения!$B$25:$B$30,0),4))</f>
        <v>251942.40000000002</v>
      </c>
      <c r="I23" s="41">
        <f t="array" ref="I23">IF($D23="","",$D23*INDEX([2]Допущения!$C$25:$G$30,MATCH($C23,[2]Допущения!$B$25:$B$30,0),5))</f>
        <v>272097.79200000007</v>
      </c>
      <c r="J23" s="41">
        <f t="shared" si="2"/>
        <v>1173320.192</v>
      </c>
      <c r="K23" s="48"/>
      <c r="L23" s="47" t="s">
        <v>113</v>
      </c>
    </row>
    <row r="24" spans="2:12" ht="15.75" customHeight="1" x14ac:dyDescent="0.25">
      <c r="B24" s="38" t="s">
        <v>114</v>
      </c>
      <c r="C24" s="45"/>
      <c r="D24" s="45"/>
      <c r="E24" s="37">
        <f t="shared" ref="E24:J24" si="3">SUM(E18:E23)</f>
        <v>245000</v>
      </c>
      <c r="F24" s="37">
        <f t="shared" si="3"/>
        <v>352200</v>
      </c>
      <c r="G24" s="37">
        <f t="shared" si="3"/>
        <v>550776</v>
      </c>
      <c r="H24" s="37">
        <f t="shared" si="3"/>
        <v>770838.08000000007</v>
      </c>
      <c r="I24" s="37">
        <f t="shared" si="3"/>
        <v>992505.12639999995</v>
      </c>
      <c r="J24" s="37">
        <f t="shared" si="3"/>
        <v>2911319.2064000005</v>
      </c>
      <c r="K24" s="46">
        <f>IFERROR(J24/$J$51,0)</f>
        <v>4.4866016068083749E-2</v>
      </c>
      <c r="L24" s="45"/>
    </row>
    <row r="25" spans="2:12" ht="15.75" customHeight="1" x14ac:dyDescent="0.25">
      <c r="C25" s="43"/>
    </row>
    <row r="26" spans="2:12" ht="15.75" customHeight="1" x14ac:dyDescent="0.25">
      <c r="B26" s="36" t="s">
        <v>126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2:12" ht="15.75" customHeight="1" x14ac:dyDescent="0.25">
      <c r="B27" s="40" t="s">
        <v>127</v>
      </c>
      <c r="C27" s="50" t="s">
        <v>97</v>
      </c>
      <c r="D27" s="49">
        <v>225000</v>
      </c>
      <c r="E27" s="41">
        <f t="array" ref="E27">IF($D27="","",$D27*INDEX([2]Допущения!$C$25:$G$30,MATCH($C27,[2]Допущения!$B$25:$B$30,0),1))</f>
        <v>225000</v>
      </c>
      <c r="F27" s="41">
        <f t="array" ref="F27">IF($D27="","",$D27*INDEX([2]Допущения!$C$25:$G$30,MATCH($C27,[2]Допущения!$B$25:$B$30,0),2))</f>
        <v>1404000</v>
      </c>
      <c r="G27" s="41">
        <f t="array" ref="G27">IF($D27="","",$D27*INDEX([2]Допущения!$C$25:$G$30,MATCH($C27,[2]Допущения!$B$25:$B$30,0),3))</f>
        <v>4860000</v>
      </c>
      <c r="H27" s="41">
        <f t="array" ref="H27">IF($D27="","",$D27*INDEX([2]Допущения!$C$25:$G$30,MATCH($C27,[2]Допущения!$B$25:$B$30,0),4))</f>
        <v>10080000</v>
      </c>
      <c r="I27" s="41">
        <f t="array" ref="I27">IF($D27="","",$D27*INDEX([2]Допущения!$C$25:$G$30,MATCH($C27,[2]Допущения!$B$25:$B$30,0),5))</f>
        <v>15659999.999999998</v>
      </c>
      <c r="J27" s="41">
        <f t="shared" ref="J27:J31" si="4">SUM(E27:I27)</f>
        <v>32229000</v>
      </c>
      <c r="K27" s="48"/>
      <c r="L27" s="47" t="s">
        <v>128</v>
      </c>
    </row>
    <row r="28" spans="2:12" ht="15.75" customHeight="1" x14ac:dyDescent="0.25">
      <c r="B28" s="40" t="s">
        <v>129</v>
      </c>
      <c r="C28" s="50" t="s">
        <v>95</v>
      </c>
      <c r="D28" s="49">
        <v>12000</v>
      </c>
      <c r="E28" s="41">
        <f t="array" ref="E28">IF($D28="","",$D28*INDEX([2]Допущения!$C$25:$G$30,MATCH($C28,[2]Допущения!$B$25:$B$30,0),1))</f>
        <v>12000</v>
      </c>
      <c r="F28" s="41">
        <f t="array" ref="F28">IF($D28="","",$D28*INDEX([2]Допущения!$C$25:$G$30,MATCH($C28,[2]Допущения!$B$25:$B$30,0),2))</f>
        <v>72000</v>
      </c>
      <c r="G28" s="41">
        <f t="array" ref="G28">IF($D28="","",$D28*INDEX([2]Допущения!$C$25:$G$30,MATCH($C28,[2]Допущения!$B$25:$B$30,0),3))</f>
        <v>240000</v>
      </c>
      <c r="H28" s="41">
        <f t="array" ref="H28">IF($D28="","",$D28*INDEX([2]Допущения!$C$25:$G$30,MATCH($C28,[2]Допущения!$B$25:$B$30,0),4))</f>
        <v>480000</v>
      </c>
      <c r="I28" s="41">
        <f t="array" ref="I28">IF($D28="","",$D28*INDEX([2]Допущения!$C$25:$G$30,MATCH($C28,[2]Допущения!$B$25:$B$30,0),5))</f>
        <v>720000</v>
      </c>
      <c r="J28" s="41">
        <f t="shared" si="4"/>
        <v>1524000</v>
      </c>
      <c r="K28" s="48"/>
      <c r="L28" s="47" t="s">
        <v>130</v>
      </c>
    </row>
    <row r="29" spans="2:12" ht="15.75" customHeight="1" x14ac:dyDescent="0.25">
      <c r="B29" s="40" t="s">
        <v>131</v>
      </c>
      <c r="C29" s="50" t="s">
        <v>95</v>
      </c>
      <c r="D29" s="49">
        <v>9000</v>
      </c>
      <c r="E29" s="41">
        <f t="array" ref="E29">IF($D29="","",$D29*INDEX([2]Допущения!$C$25:$G$30,MATCH($C29,[2]Допущения!$B$25:$B$30,0),1))</f>
        <v>9000</v>
      </c>
      <c r="F29" s="41">
        <f t="array" ref="F29">IF($D29="","",$D29*INDEX([2]Допущения!$C$25:$G$30,MATCH($C29,[2]Допущения!$B$25:$B$30,0),2))</f>
        <v>54000</v>
      </c>
      <c r="G29" s="41">
        <f t="array" ref="G29">IF($D29="","",$D29*INDEX([2]Допущения!$C$25:$G$30,MATCH($C29,[2]Допущения!$B$25:$B$30,0),3))</f>
        <v>180000</v>
      </c>
      <c r="H29" s="41">
        <f t="array" ref="H29">IF($D29="","",$D29*INDEX([2]Допущения!$C$25:$G$30,MATCH($C29,[2]Допущения!$B$25:$B$30,0),4))</f>
        <v>360000</v>
      </c>
      <c r="I29" s="41">
        <f t="array" ref="I29">IF($D29="","",$D29*INDEX([2]Допущения!$C$25:$G$30,MATCH($C29,[2]Допущения!$B$25:$B$30,0),5))</f>
        <v>540000</v>
      </c>
      <c r="J29" s="41">
        <f t="shared" si="4"/>
        <v>1143000</v>
      </c>
      <c r="K29" s="48"/>
      <c r="L29" s="47" t="s">
        <v>132</v>
      </c>
    </row>
    <row r="30" spans="2:12" ht="15.75" customHeight="1" x14ac:dyDescent="0.25">
      <c r="B30" s="40" t="s">
        <v>133</v>
      </c>
      <c r="C30" s="50" t="s">
        <v>95</v>
      </c>
      <c r="D30" s="49">
        <v>30000</v>
      </c>
      <c r="E30" s="41">
        <f t="array" ref="E30">IF($D30="","",$D30*INDEX([2]Допущения!$C$25:$G$30,MATCH($C30,[2]Допущения!$B$25:$B$30,0),1))</f>
        <v>30000</v>
      </c>
      <c r="F30" s="41">
        <f t="array" ref="F30">IF($D30="","",$D30*INDEX([2]Допущения!$C$25:$G$30,MATCH($C30,[2]Допущения!$B$25:$B$30,0),2))</f>
        <v>180000</v>
      </c>
      <c r="G30" s="41">
        <f t="array" ref="G30">IF($D30="","",$D30*INDEX([2]Допущения!$C$25:$G$30,MATCH($C30,[2]Допущения!$B$25:$B$30,0),3))</f>
        <v>600000</v>
      </c>
      <c r="H30" s="41">
        <f t="array" ref="H30">IF($D30="","",$D30*INDEX([2]Допущения!$C$25:$G$30,MATCH($C30,[2]Допущения!$B$25:$B$30,0),4))</f>
        <v>1200000</v>
      </c>
      <c r="I30" s="41">
        <f t="array" ref="I30">IF($D30="","",$D30*INDEX([2]Допущения!$C$25:$G$30,MATCH($C30,[2]Допущения!$B$25:$B$30,0),5))</f>
        <v>1800000</v>
      </c>
      <c r="J30" s="41">
        <f t="shared" si="4"/>
        <v>3810000</v>
      </c>
      <c r="K30" s="48"/>
      <c r="L30" s="47" t="s">
        <v>134</v>
      </c>
    </row>
    <row r="31" spans="2:12" ht="15.75" customHeight="1" x14ac:dyDescent="0.25">
      <c r="B31" s="40"/>
      <c r="C31" s="50" t="s">
        <v>88</v>
      </c>
      <c r="D31" s="49"/>
      <c r="E31" s="41" t="str">
        <f t="array" ref="E31">IF($D31="","",$D31*INDEX([2]Допущения!$C$25:$G$30,MATCH($C31,[2]Допущения!$B$25:$B$30,0),1))</f>
        <v/>
      </c>
      <c r="F31" s="41" t="str">
        <f t="array" ref="F31">IF($D31="","",$D31*INDEX([2]Допущения!$C$25:$G$30,MATCH($C31,[2]Допущения!$B$25:$B$30,0),2))</f>
        <v/>
      </c>
      <c r="G31" s="41" t="str">
        <f t="array" ref="G31">IF($D31="","",$D31*INDEX([2]Допущения!$C$25:$G$30,MATCH($C31,[2]Допущения!$B$25:$B$30,0),3))</f>
        <v/>
      </c>
      <c r="H31" s="41" t="str">
        <f t="array" ref="H31">IF($D31="","",$D31*INDEX([2]Допущения!$C$25:$G$30,MATCH($C31,[2]Допущения!$B$25:$B$30,0),4))</f>
        <v/>
      </c>
      <c r="I31" s="41" t="str">
        <f t="array" ref="I31">IF($D31="","",$D31*INDEX([2]Допущения!$C$25:$G$30,MATCH($C31,[2]Допущения!$B$25:$B$30,0),5))</f>
        <v/>
      </c>
      <c r="J31" s="41">
        <f t="shared" si="4"/>
        <v>0</v>
      </c>
      <c r="K31" s="48"/>
      <c r="L31" s="47" t="s">
        <v>113</v>
      </c>
    </row>
    <row r="32" spans="2:12" ht="15.75" customHeight="1" x14ac:dyDescent="0.25">
      <c r="B32" s="38" t="s">
        <v>114</v>
      </c>
      <c r="C32" s="45"/>
      <c r="D32" s="45"/>
      <c r="E32" s="37">
        <f t="shared" ref="E32:J32" si="5">SUM(E27:E31)</f>
        <v>276000</v>
      </c>
      <c r="F32" s="37">
        <f t="shared" si="5"/>
        <v>1710000</v>
      </c>
      <c r="G32" s="37">
        <f t="shared" si="5"/>
        <v>5880000</v>
      </c>
      <c r="H32" s="37">
        <f t="shared" si="5"/>
        <v>12120000</v>
      </c>
      <c r="I32" s="37">
        <f t="shared" si="5"/>
        <v>18720000</v>
      </c>
      <c r="J32" s="37">
        <f t="shared" si="5"/>
        <v>38706000</v>
      </c>
      <c r="K32" s="46">
        <f>IFERROR(J32/$J$51,0)</f>
        <v>0.59649385547063627</v>
      </c>
      <c r="L32" s="45"/>
    </row>
    <row r="33" spans="2:12" ht="15.75" customHeight="1" x14ac:dyDescent="0.25">
      <c r="C33" s="43"/>
    </row>
    <row r="34" spans="2:12" ht="15.75" customHeight="1" x14ac:dyDescent="0.25">
      <c r="B34" s="36" t="s">
        <v>135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</row>
    <row r="35" spans="2:12" ht="15.75" customHeight="1" x14ac:dyDescent="0.25">
      <c r="B35" s="40" t="s">
        <v>136</v>
      </c>
      <c r="C35" s="50" t="s">
        <v>92</v>
      </c>
      <c r="D35" s="49">
        <v>960000</v>
      </c>
      <c r="E35" s="41">
        <f t="array" ref="E35">IF($D35="","",$D35*INDEX([2]Допущения!$C$25:$G$30,MATCH($C35,[2]Допущения!$B$25:$B$30,0),1))</f>
        <v>960000</v>
      </c>
      <c r="F35" s="41">
        <f t="array" ref="F35">IF($D35="","",$D35*INDEX([2]Допущения!$C$25:$G$30,MATCH($C35,[2]Допущения!$B$25:$B$30,0),2))</f>
        <v>1075200</v>
      </c>
      <c r="G35" s="41">
        <f t="array" ref="G35">IF($D35="","",$D35*INDEX([2]Допущения!$C$25:$G$30,MATCH($C35,[2]Допущения!$B$25:$B$30,0),3))</f>
        <v>1204224.0000000002</v>
      </c>
      <c r="H35" s="41">
        <f t="array" ref="H35">IF($D35="","",$D35*INDEX([2]Допущения!$C$25:$G$30,MATCH($C35,[2]Допущения!$B$25:$B$30,0),4))</f>
        <v>1348730.8800000004</v>
      </c>
      <c r="I35" s="41">
        <f t="array" ref="I35">IF($D35="","",$D35*INDEX([2]Допущения!$C$25:$G$30,MATCH($C35,[2]Допущения!$B$25:$B$30,0),5))</f>
        <v>1510578.5856000006</v>
      </c>
      <c r="J35" s="41">
        <f t="shared" ref="J35:J39" si="6">SUM(E35:I35)</f>
        <v>6098733.4656000016</v>
      </c>
      <c r="K35" s="48"/>
      <c r="L35" s="47" t="s">
        <v>137</v>
      </c>
    </row>
    <row r="36" spans="2:12" ht="15.75" customHeight="1" x14ac:dyDescent="0.25">
      <c r="B36" s="40" t="s">
        <v>138</v>
      </c>
      <c r="C36" s="50" t="s">
        <v>92</v>
      </c>
      <c r="D36" s="49">
        <v>120000</v>
      </c>
      <c r="E36" s="41">
        <f t="array" ref="E36">IF($D36="","",$D36*INDEX([2]Допущения!$C$25:$G$30,MATCH($C36,[2]Допущения!$B$25:$B$30,0),1))</f>
        <v>120000</v>
      </c>
      <c r="F36" s="41">
        <f t="array" ref="F36">IF($D36="","",$D36*INDEX([2]Допущения!$C$25:$G$30,MATCH($C36,[2]Допущения!$B$25:$B$30,0),2))</f>
        <v>134400</v>
      </c>
      <c r="G36" s="41">
        <f t="array" ref="G36">IF($D36="","",$D36*INDEX([2]Допущения!$C$25:$G$30,MATCH($C36,[2]Допущения!$B$25:$B$30,0),3))</f>
        <v>150528.00000000003</v>
      </c>
      <c r="H36" s="41">
        <f t="array" ref="H36">IF($D36="","",$D36*INDEX([2]Допущения!$C$25:$G$30,MATCH($C36,[2]Допущения!$B$25:$B$30,0),4))</f>
        <v>168591.36000000004</v>
      </c>
      <c r="I36" s="41">
        <f t="array" ref="I36">IF($D36="","",$D36*INDEX([2]Допущения!$C$25:$G$30,MATCH($C36,[2]Допущения!$B$25:$B$30,0),5))</f>
        <v>188822.32320000007</v>
      </c>
      <c r="J36" s="41">
        <f t="shared" si="6"/>
        <v>762341.6832000002</v>
      </c>
      <c r="K36" s="48"/>
      <c r="L36" s="47" t="s">
        <v>139</v>
      </c>
    </row>
    <row r="37" spans="2:12" ht="15.75" customHeight="1" x14ac:dyDescent="0.25">
      <c r="B37" s="40" t="s">
        <v>140</v>
      </c>
      <c r="C37" s="50" t="s">
        <v>92</v>
      </c>
      <c r="D37" s="49">
        <v>96000</v>
      </c>
      <c r="E37" s="41">
        <f t="array" ref="E37">IF($D37="","",$D37*INDEX([2]Допущения!$C$25:$G$30,MATCH($C37,[2]Допущения!$B$25:$B$30,0),1))</f>
        <v>96000</v>
      </c>
      <c r="F37" s="41">
        <f t="array" ref="F37">IF($D37="","",$D37*INDEX([2]Допущения!$C$25:$G$30,MATCH($C37,[2]Допущения!$B$25:$B$30,0),2))</f>
        <v>107520.00000000001</v>
      </c>
      <c r="G37" s="41">
        <f t="array" ref="G37">IF($D37="","",$D37*INDEX([2]Допущения!$C$25:$G$30,MATCH($C37,[2]Допущения!$B$25:$B$30,0),3))</f>
        <v>120422.40000000002</v>
      </c>
      <c r="H37" s="41">
        <f t="array" ref="H37">IF($D37="","",$D37*INDEX([2]Допущения!$C$25:$G$30,MATCH($C37,[2]Допущения!$B$25:$B$30,0),4))</f>
        <v>134873.08800000005</v>
      </c>
      <c r="I37" s="41">
        <f t="array" ref="I37">IF($D37="","",$D37*INDEX([2]Допущения!$C$25:$G$30,MATCH($C37,[2]Допущения!$B$25:$B$30,0),5))</f>
        <v>151057.85856000005</v>
      </c>
      <c r="J37" s="41">
        <f t="shared" si="6"/>
        <v>609873.34656000009</v>
      </c>
      <c r="K37" s="48"/>
      <c r="L37" s="47" t="s">
        <v>141</v>
      </c>
    </row>
    <row r="38" spans="2:12" ht="15.75" customHeight="1" x14ac:dyDescent="0.25">
      <c r="B38" s="40" t="s">
        <v>142</v>
      </c>
      <c r="C38" s="50" t="s">
        <v>92</v>
      </c>
      <c r="D38" s="49">
        <v>150000</v>
      </c>
      <c r="E38" s="41">
        <f t="array" ref="E38">IF($D38="","",$D38*INDEX([2]Допущения!$C$25:$G$30,MATCH($C38,[2]Допущения!$B$25:$B$30,0),1))</f>
        <v>150000</v>
      </c>
      <c r="F38" s="41">
        <f t="array" ref="F38">IF($D38="","",$D38*INDEX([2]Допущения!$C$25:$G$30,MATCH($C38,[2]Допущения!$B$25:$B$30,0),2))</f>
        <v>168000.00000000003</v>
      </c>
      <c r="G38" s="41">
        <f t="array" ref="G38">IF($D38="","",$D38*INDEX([2]Допущения!$C$25:$G$30,MATCH($C38,[2]Допущения!$B$25:$B$30,0),3))</f>
        <v>188160.00000000003</v>
      </c>
      <c r="H38" s="41">
        <f t="array" ref="H38">IF($D38="","",$D38*INDEX([2]Допущения!$C$25:$G$30,MATCH($C38,[2]Допущения!$B$25:$B$30,0),4))</f>
        <v>210739.20000000007</v>
      </c>
      <c r="I38" s="41">
        <f t="array" ref="I38">IF($D38="","",$D38*INDEX([2]Допущения!$C$25:$G$30,MATCH($C38,[2]Допущения!$B$25:$B$30,0),5))</f>
        <v>236027.9040000001</v>
      </c>
      <c r="J38" s="41">
        <f t="shared" si="6"/>
        <v>952927.10400000017</v>
      </c>
      <c r="K38" s="48"/>
      <c r="L38" s="47" t="s">
        <v>143</v>
      </c>
    </row>
    <row r="39" spans="2:12" ht="15.75" customHeight="1" x14ac:dyDescent="0.25">
      <c r="B39" s="40"/>
      <c r="C39" s="50" t="s">
        <v>88</v>
      </c>
      <c r="D39" s="49"/>
      <c r="E39" s="41" t="str">
        <f t="array" ref="E39">IF($D39="","",$D39*INDEX([2]Допущения!$C$25:$G$30,MATCH($C39,[2]Допущения!$B$25:$B$30,0),1))</f>
        <v/>
      </c>
      <c r="F39" s="41" t="str">
        <f t="array" ref="F39">IF($D39="","",$D39*INDEX([2]Допущения!$C$25:$G$30,MATCH($C39,[2]Допущения!$B$25:$B$30,0),2))</f>
        <v/>
      </c>
      <c r="G39" s="41" t="str">
        <f t="array" ref="G39">IF($D39="","",$D39*INDEX([2]Допущения!$C$25:$G$30,MATCH($C39,[2]Допущения!$B$25:$B$30,0),3))</f>
        <v/>
      </c>
      <c r="H39" s="41" t="str">
        <f t="array" ref="H39">IF($D39="","",$D39*INDEX([2]Допущения!$C$25:$G$30,MATCH($C39,[2]Допущения!$B$25:$B$30,0),4))</f>
        <v/>
      </c>
      <c r="I39" s="41" t="str">
        <f t="array" ref="I39">IF($D39="","",$D39*INDEX([2]Допущения!$C$25:$G$30,MATCH($C39,[2]Допущения!$B$25:$B$30,0),5))</f>
        <v/>
      </c>
      <c r="J39" s="41">
        <f t="shared" si="6"/>
        <v>0</v>
      </c>
      <c r="K39" s="48"/>
      <c r="L39" s="47" t="s">
        <v>113</v>
      </c>
    </row>
    <row r="40" spans="2:12" ht="15.75" customHeight="1" x14ac:dyDescent="0.25">
      <c r="B40" s="38" t="s">
        <v>114</v>
      </c>
      <c r="C40" s="45"/>
      <c r="D40" s="45"/>
      <c r="E40" s="37">
        <f t="shared" ref="E40:J40" si="7">SUM(E35:E39)</f>
        <v>1326000</v>
      </c>
      <c r="F40" s="37">
        <f t="shared" si="7"/>
        <v>1485120</v>
      </c>
      <c r="G40" s="37">
        <f t="shared" si="7"/>
        <v>1663334.4000000004</v>
      </c>
      <c r="H40" s="37">
        <f t="shared" si="7"/>
        <v>1862934.5280000004</v>
      </c>
      <c r="I40" s="37">
        <f t="shared" si="7"/>
        <v>2086486.6713600007</v>
      </c>
      <c r="J40" s="37">
        <f t="shared" si="7"/>
        <v>8423875.5993600022</v>
      </c>
      <c r="K40" s="46">
        <f>IFERROR(J40/$J$51,0)</f>
        <v>0.12981940872906694</v>
      </c>
      <c r="L40" s="45"/>
    </row>
    <row r="41" spans="2:12" ht="15.75" customHeight="1" x14ac:dyDescent="0.25">
      <c r="C41" s="43"/>
    </row>
    <row r="42" spans="2:12" ht="15.75" customHeight="1" x14ac:dyDescent="0.25">
      <c r="B42" s="36" t="s">
        <v>144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</row>
    <row r="43" spans="2:12" ht="15.75" customHeight="1" x14ac:dyDescent="0.25">
      <c r="B43" s="40" t="s">
        <v>145</v>
      </c>
      <c r="C43" s="50" t="s">
        <v>88</v>
      </c>
      <c r="D43" s="49">
        <v>25000</v>
      </c>
      <c r="E43" s="41">
        <f t="array" ref="E43">IF($D43="","",$D43*INDEX([2]Допущения!$C$25:$G$30,MATCH($C43,[2]Допущения!$B$25:$B$30,0),1))</f>
        <v>25000</v>
      </c>
      <c r="F43" s="41">
        <f t="array" ref="F43">IF($D43="","",$D43*INDEX([2]Допущения!$C$25:$G$30,MATCH($C43,[2]Допущения!$B$25:$B$30,0),2))</f>
        <v>25000</v>
      </c>
      <c r="G43" s="41">
        <f t="array" ref="G43">IF($D43="","",$D43*INDEX([2]Допущения!$C$25:$G$30,MATCH($C43,[2]Допущения!$B$25:$B$30,0),3))</f>
        <v>25000</v>
      </c>
      <c r="H43" s="41">
        <f t="array" ref="H43">IF($D43="","",$D43*INDEX([2]Допущения!$C$25:$G$30,MATCH($C43,[2]Допущения!$B$25:$B$30,0),4))</f>
        <v>25000</v>
      </c>
      <c r="I43" s="41">
        <f t="array" ref="I43">IF($D43="","",$D43*INDEX([2]Допущения!$C$25:$G$30,MATCH($C43,[2]Допущения!$B$25:$B$30,0),5))</f>
        <v>25000</v>
      </c>
      <c r="J43" s="41">
        <f t="shared" ref="J43:J47" si="8">SUM(E43:I43)</f>
        <v>125000</v>
      </c>
      <c r="K43" s="48"/>
      <c r="L43" s="47" t="s">
        <v>146</v>
      </c>
    </row>
    <row r="44" spans="2:12" ht="15.75" customHeight="1" x14ac:dyDescent="0.25">
      <c r="B44" s="40" t="s">
        <v>147</v>
      </c>
      <c r="C44" s="50" t="s">
        <v>90</v>
      </c>
      <c r="D44" s="49">
        <v>15000</v>
      </c>
      <c r="E44" s="41">
        <f t="array" ref="E44">IF($D44="","",$D44*INDEX([2]Допущения!$C$25:$G$30,MATCH($C44,[2]Допущения!$B$25:$B$30,0),1))</f>
        <v>15000</v>
      </c>
      <c r="F44" s="41">
        <f t="array" ref="F44">IF($D44="","",$D44*INDEX([2]Допущения!$C$25:$G$30,MATCH($C44,[2]Допущения!$B$25:$B$30,0),2))</f>
        <v>16200.000000000002</v>
      </c>
      <c r="G44" s="41">
        <f t="array" ref="G44">IF($D44="","",$D44*INDEX([2]Допущения!$C$25:$G$30,MATCH($C44,[2]Допущения!$B$25:$B$30,0),3))</f>
        <v>17496</v>
      </c>
      <c r="H44" s="41">
        <f t="array" ref="H44">IF($D44="","",$D44*INDEX([2]Допущения!$C$25:$G$30,MATCH($C44,[2]Допущения!$B$25:$B$30,0),4))</f>
        <v>18895.680000000004</v>
      </c>
      <c r="I44" s="41">
        <f t="array" ref="I44">IF($D44="","",$D44*INDEX([2]Допущения!$C$25:$G$30,MATCH($C44,[2]Допущения!$B$25:$B$30,0),5))</f>
        <v>20407.334400000003</v>
      </c>
      <c r="J44" s="41">
        <f t="shared" si="8"/>
        <v>87999.014400000015</v>
      </c>
      <c r="K44" s="48"/>
      <c r="L44" s="47" t="s">
        <v>148</v>
      </c>
    </row>
    <row r="45" spans="2:12" ht="15.75" customHeight="1" x14ac:dyDescent="0.25">
      <c r="B45" s="40" t="s">
        <v>149</v>
      </c>
      <c r="C45" s="50" t="s">
        <v>88</v>
      </c>
      <c r="D45" s="49">
        <v>20000</v>
      </c>
      <c r="E45" s="41">
        <f t="array" ref="E45">IF($D45="","",$D45*INDEX([2]Допущения!$C$25:$G$30,MATCH($C45,[2]Допущения!$B$25:$B$30,0),1))</f>
        <v>20000</v>
      </c>
      <c r="F45" s="41">
        <f t="array" ref="F45">IF($D45="","",$D45*INDEX([2]Допущения!$C$25:$G$30,MATCH($C45,[2]Допущения!$B$25:$B$30,0),2))</f>
        <v>20000</v>
      </c>
      <c r="G45" s="41">
        <f t="array" ref="G45">IF($D45="","",$D45*INDEX([2]Допущения!$C$25:$G$30,MATCH($C45,[2]Допущения!$B$25:$B$30,0),3))</f>
        <v>20000</v>
      </c>
      <c r="H45" s="41">
        <f t="array" ref="H45">IF($D45="","",$D45*INDEX([2]Допущения!$C$25:$G$30,MATCH($C45,[2]Допущения!$B$25:$B$30,0),4))</f>
        <v>20000</v>
      </c>
      <c r="I45" s="41">
        <f t="array" ref="I45">IF($D45="","",$D45*INDEX([2]Допущения!$C$25:$G$30,MATCH($C45,[2]Допущения!$B$25:$B$30,0),5))</f>
        <v>20000</v>
      </c>
      <c r="J45" s="41">
        <f t="shared" si="8"/>
        <v>100000</v>
      </c>
      <c r="K45" s="48"/>
      <c r="L45" s="47" t="s">
        <v>150</v>
      </c>
    </row>
    <row r="46" spans="2:12" ht="15.75" customHeight="1" x14ac:dyDescent="0.25">
      <c r="B46" s="40" t="s">
        <v>151</v>
      </c>
      <c r="C46" s="50" t="s">
        <v>92</v>
      </c>
      <c r="D46" s="49">
        <v>30000</v>
      </c>
      <c r="E46" s="41">
        <f t="array" ref="E46">IF($D46="","",$D46*INDEX([2]Допущения!$C$25:$G$30,MATCH($C46,[2]Допущения!$B$25:$B$30,0),1))</f>
        <v>30000</v>
      </c>
      <c r="F46" s="41">
        <f t="array" ref="F46">IF($D46="","",$D46*INDEX([2]Допущения!$C$25:$G$30,MATCH($C46,[2]Допущения!$B$25:$B$30,0),2))</f>
        <v>33600</v>
      </c>
      <c r="G46" s="41">
        <f t="array" ref="G46">IF($D46="","",$D46*INDEX([2]Допущения!$C$25:$G$30,MATCH($C46,[2]Допущения!$B$25:$B$30,0),3))</f>
        <v>37632.000000000007</v>
      </c>
      <c r="H46" s="41">
        <f t="array" ref="H46">IF($D46="","",$D46*INDEX([2]Допущения!$C$25:$G$30,MATCH($C46,[2]Допущения!$B$25:$B$30,0),4))</f>
        <v>42147.840000000011</v>
      </c>
      <c r="I46" s="41">
        <f t="array" ref="I46">IF($D46="","",$D46*INDEX([2]Допущения!$C$25:$G$30,MATCH($C46,[2]Допущения!$B$25:$B$30,0),5))</f>
        <v>47205.580800000018</v>
      </c>
      <c r="J46" s="41">
        <f t="shared" si="8"/>
        <v>190585.42080000005</v>
      </c>
      <c r="K46" s="48"/>
      <c r="L46" s="47" t="s">
        <v>152</v>
      </c>
    </row>
    <row r="47" spans="2:12" ht="15.75" customHeight="1" x14ac:dyDescent="0.25">
      <c r="B47" s="40"/>
      <c r="C47" s="50" t="s">
        <v>88</v>
      </c>
      <c r="D47" s="49"/>
      <c r="E47" s="41" t="str">
        <f t="array" ref="E47">IF($D47="","",$D47*INDEX([2]Допущения!$C$25:$G$30,MATCH($C47,[2]Допущения!$B$25:$B$30,0),1))</f>
        <v/>
      </c>
      <c r="F47" s="41" t="str">
        <f t="array" ref="F47">IF($D47="","",$D47*INDEX([2]Допущения!$C$25:$G$30,MATCH($C47,[2]Допущения!$B$25:$B$30,0),2))</f>
        <v/>
      </c>
      <c r="G47" s="41" t="str">
        <f t="array" ref="G47">IF($D47="","",$D47*INDEX([2]Допущения!$C$25:$G$30,MATCH($C47,[2]Допущения!$B$25:$B$30,0),3))</f>
        <v/>
      </c>
      <c r="H47" s="41" t="str">
        <f t="array" ref="H47">IF($D47="","",$D47*INDEX([2]Допущения!$C$25:$G$30,MATCH($C47,[2]Допущения!$B$25:$B$30,0),4))</f>
        <v/>
      </c>
      <c r="I47" s="41" t="str">
        <f t="array" ref="I47">IF($D47="","",$D47*INDEX([2]Допущения!$C$25:$G$30,MATCH($C47,[2]Допущения!$B$25:$B$30,0),5))</f>
        <v/>
      </c>
      <c r="J47" s="41">
        <f t="shared" si="8"/>
        <v>0</v>
      </c>
      <c r="K47" s="48"/>
      <c r="L47" s="47" t="s">
        <v>113</v>
      </c>
    </row>
    <row r="48" spans="2:12" ht="15.75" customHeight="1" x14ac:dyDescent="0.25">
      <c r="B48" s="38" t="s">
        <v>114</v>
      </c>
      <c r="C48" s="45"/>
      <c r="D48" s="45"/>
      <c r="E48" s="37">
        <f t="shared" ref="E48:J48" si="9">SUM(E43:E47)</f>
        <v>90000</v>
      </c>
      <c r="F48" s="37">
        <f t="shared" si="9"/>
        <v>94800</v>
      </c>
      <c r="G48" s="37">
        <f t="shared" si="9"/>
        <v>100128</v>
      </c>
      <c r="H48" s="37">
        <f t="shared" si="9"/>
        <v>106043.52000000002</v>
      </c>
      <c r="I48" s="37">
        <f t="shared" si="9"/>
        <v>112612.91520000002</v>
      </c>
      <c r="J48" s="37">
        <f t="shared" si="9"/>
        <v>503584.43520000007</v>
      </c>
      <c r="K48" s="46">
        <f>IFERROR(J48/$J$51,0)</f>
        <v>7.7606836487224421E-3</v>
      </c>
      <c r="L48" s="45"/>
    </row>
    <row r="49" spans="2:12" ht="15.75" customHeight="1" x14ac:dyDescent="0.25">
      <c r="C49" s="43"/>
    </row>
    <row r="50" spans="2:12" ht="15.75" customHeight="1" x14ac:dyDescent="0.25">
      <c r="B50" s="34" t="s">
        <v>153</v>
      </c>
      <c r="C50" s="43"/>
      <c r="E50" s="42">
        <f>(E15+E24+E32+E40+E48)*[2]Допущения!$C$17</f>
        <v>309000</v>
      </c>
      <c r="F50" s="42">
        <f>(F15+F24+F32+F40+F48)*[2]Допущения!$C$17</f>
        <v>612234</v>
      </c>
      <c r="G50" s="42">
        <f>(G15+G24+G32+G40+G48)*[2]Допущения!$C$17</f>
        <v>1389785.0400000003</v>
      </c>
      <c r="H50" s="42">
        <f>(H15+H24+H32+H40+H48)*[2]Допущения!$C$17</f>
        <v>2494873.6415999997</v>
      </c>
      <c r="I50" s="42">
        <f>(I15+I24+I32+I40+I48)*[2]Допущения!$C$17</f>
        <v>3657914.0271359999</v>
      </c>
      <c r="J50" s="41">
        <f t="shared" ref="J50:J51" si="10">SUM(E50:I50)</f>
        <v>8463806.7087359987</v>
      </c>
      <c r="L50" s="44" t="s">
        <v>154</v>
      </c>
    </row>
    <row r="51" spans="2:12" ht="15.75" customHeight="1" x14ac:dyDescent="0.25">
      <c r="B51" s="38" t="s">
        <v>155</v>
      </c>
      <c r="C51" s="43"/>
      <c r="E51" s="37">
        <f t="shared" ref="E51:I51" si="11">E15+E24+E32+E40+E48+E50</f>
        <v>2369000</v>
      </c>
      <c r="F51" s="37">
        <f t="shared" si="11"/>
        <v>4693794</v>
      </c>
      <c r="G51" s="37">
        <f t="shared" si="11"/>
        <v>10655018.640000002</v>
      </c>
      <c r="H51" s="37">
        <f t="shared" si="11"/>
        <v>19127364.5856</v>
      </c>
      <c r="I51" s="37">
        <f t="shared" si="11"/>
        <v>28044007.541376002</v>
      </c>
      <c r="J51" s="37">
        <f t="shared" si="10"/>
        <v>64889184.766976006</v>
      </c>
    </row>
    <row r="52" spans="2:12" ht="15.75" customHeight="1" x14ac:dyDescent="0.25">
      <c r="B52" s="36" t="s">
        <v>156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</row>
    <row r="53" spans="2:12" ht="15.75" customHeight="1" x14ac:dyDescent="0.25">
      <c r="B53" s="40" t="s">
        <v>157</v>
      </c>
      <c r="E53" s="42">
        <f>(1-[2]Допущения!$C$20)*525600*[2]Допущения!$C$19*[2]Допущения!$C$21</f>
        <v>630719.9999999305</v>
      </c>
      <c r="F53" s="42">
        <f>(1-[2]Допущения!$C$20)*525600*[2]Допущения!$C$19*[2]Допущения!$C$21</f>
        <v>630719.9999999305</v>
      </c>
      <c r="G53" s="42">
        <f>(1-[2]Допущения!$C$20)*525600*[2]Допущения!$C$19*[2]Допущения!$C$21</f>
        <v>630719.9999999305</v>
      </c>
      <c r="H53" s="42">
        <f>(1-[2]Допущения!$C$20)*525600*[2]Допущения!$C$19*[2]Допущения!$C$21</f>
        <v>630719.9999999305</v>
      </c>
      <c r="I53" s="42">
        <f>(1-[2]Допущения!$C$20)*525600*[2]Допущения!$C$19*[2]Допущения!$C$21</f>
        <v>630719.9999999305</v>
      </c>
      <c r="J53" s="41">
        <f t="shared" ref="J53:J54" si="12">SUM(E53:I53)</f>
        <v>3153599.9999996526</v>
      </c>
      <c r="L53" s="87" t="s">
        <v>158</v>
      </c>
    </row>
    <row r="54" spans="2:12" ht="15.75" customHeight="1" x14ac:dyDescent="0.25">
      <c r="B54" s="38" t="s">
        <v>159</v>
      </c>
      <c r="E54" s="37">
        <f t="shared" ref="E54:I54" si="13">E51+E53</f>
        <v>2999719.9999999306</v>
      </c>
      <c r="F54" s="37">
        <f t="shared" si="13"/>
        <v>5324513.9999999302</v>
      </c>
      <c r="G54" s="37">
        <f t="shared" si="13"/>
        <v>11285738.639999934</v>
      </c>
      <c r="H54" s="37">
        <f t="shared" si="13"/>
        <v>19758084.585599929</v>
      </c>
      <c r="I54" s="37">
        <f t="shared" si="13"/>
        <v>28674727.541375931</v>
      </c>
      <c r="J54" s="37">
        <f t="shared" si="12"/>
        <v>68042784.766975656</v>
      </c>
      <c r="L54" s="88"/>
    </row>
    <row r="55" spans="2:12" ht="15.75" customHeight="1" x14ac:dyDescent="0.25">
      <c r="B55" s="40" t="s">
        <v>160</v>
      </c>
      <c r="E55" s="39">
        <f>1/(1+[2]Допущения!$C$16)^0</f>
        <v>1</v>
      </c>
      <c r="F55" s="39">
        <f>1/(1+[2]Допущения!$C$16)^1</f>
        <v>0.83333333333333337</v>
      </c>
      <c r="G55" s="39">
        <f>1/(1+[2]Допущения!$C$16)^2</f>
        <v>0.69444444444444442</v>
      </c>
      <c r="H55" s="39">
        <f>1/(1+[2]Допущения!$C$16)^3</f>
        <v>0.57870370370370372</v>
      </c>
      <c r="I55" s="39">
        <f>1/(1+[2]Допущения!$C$16)^4</f>
        <v>0.48225308641975312</v>
      </c>
      <c r="L55" s="88"/>
    </row>
    <row r="56" spans="2:12" ht="15.75" customHeight="1" x14ac:dyDescent="0.25">
      <c r="B56" s="38" t="s">
        <v>161</v>
      </c>
      <c r="E56" s="37">
        <f t="shared" ref="E56:I56" si="14">E54*E55</f>
        <v>2999719.9999999306</v>
      </c>
      <c r="F56" s="37">
        <f t="shared" si="14"/>
        <v>4437094.9999999423</v>
      </c>
      <c r="G56" s="37">
        <f t="shared" si="14"/>
        <v>7837318.4999999534</v>
      </c>
      <c r="H56" s="37">
        <f t="shared" si="14"/>
        <v>11434076.727777736</v>
      </c>
      <c r="I56" s="37">
        <f t="shared" si="14"/>
        <v>13828475.859074041</v>
      </c>
      <c r="J56" s="37">
        <f>SUM(E56:I56)</f>
        <v>40536686.086851604</v>
      </c>
      <c r="L56" s="88"/>
    </row>
    <row r="57" spans="2:12" ht="15.75" customHeight="1" x14ac:dyDescent="0.25">
      <c r="L57" s="89"/>
    </row>
    <row r="58" spans="2:12" ht="15.75" customHeight="1" x14ac:dyDescent="0.25">
      <c r="B58" s="36" t="s">
        <v>162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2:12" ht="15.75" customHeight="1" x14ac:dyDescent="0.25">
      <c r="B59" s="34" t="s">
        <v>163</v>
      </c>
      <c r="E59" s="84">
        <f>J51</f>
        <v>64889184.766976006</v>
      </c>
      <c r="F59" s="72"/>
      <c r="L59" s="33" t="s">
        <v>164</v>
      </c>
    </row>
    <row r="60" spans="2:12" ht="15.75" customHeight="1" x14ac:dyDescent="0.25">
      <c r="B60" s="34" t="s">
        <v>165</v>
      </c>
      <c r="E60" s="84">
        <f>J54</f>
        <v>68042784.766975656</v>
      </c>
      <c r="F60" s="72"/>
      <c r="L60" s="33" t="s">
        <v>166</v>
      </c>
    </row>
    <row r="61" spans="2:12" ht="15.75" customHeight="1" x14ac:dyDescent="0.25">
      <c r="B61" s="34" t="s">
        <v>167</v>
      </c>
      <c r="E61" s="84">
        <f>J56</f>
        <v>40536686.086851604</v>
      </c>
      <c r="F61" s="72"/>
      <c r="L61" s="33" t="s">
        <v>168</v>
      </c>
    </row>
    <row r="62" spans="2:12" ht="15.75" customHeight="1" x14ac:dyDescent="0.25">
      <c r="B62" s="34" t="s">
        <v>169</v>
      </c>
      <c r="E62" s="84">
        <f>J51/5</f>
        <v>12977836.953395201</v>
      </c>
      <c r="F62" s="72"/>
      <c r="L62" s="33" t="s">
        <v>170</v>
      </c>
    </row>
    <row r="63" spans="2:12" ht="15.75" customHeight="1" x14ac:dyDescent="0.25">
      <c r="B63" s="34" t="s">
        <v>171</v>
      </c>
      <c r="E63" s="84">
        <f>E15/12</f>
        <v>10250</v>
      </c>
      <c r="F63" s="72"/>
      <c r="L63" s="33" t="s">
        <v>172</v>
      </c>
    </row>
    <row r="64" spans="2:12" ht="15.75" customHeight="1" x14ac:dyDescent="0.25">
      <c r="B64" s="34" t="s">
        <v>173</v>
      </c>
      <c r="E64" s="85" t="str">
        <f>IF(E15/12&lt;=[2]Допущения!$C$18,"В бюджете CFO","ПРЕВЫШЕНИЕ бюджета")</f>
        <v>ПРЕВЫШЕНИЕ бюджета</v>
      </c>
      <c r="F64" s="72"/>
      <c r="L64" s="33" t="s">
        <v>174</v>
      </c>
    </row>
    <row r="65" spans="2:12" ht="15.75" customHeight="1" x14ac:dyDescent="0.25">
      <c r="B65" s="34" t="s">
        <v>175</v>
      </c>
      <c r="E65" s="86">
        <f>IFERROR(J51/SUM([2]Допущения!$C$8:$G$8),0)</f>
        <v>1.7031282091069817</v>
      </c>
      <c r="F65" s="72"/>
      <c r="L65" s="33" t="s">
        <v>176</v>
      </c>
    </row>
    <row r="66" spans="2:12" ht="15.75" customHeight="1" x14ac:dyDescent="0.25">
      <c r="B66" s="34" t="s">
        <v>177</v>
      </c>
      <c r="E66" s="86">
        <f>IFERROR(I51/[2]Допущения!$G$7,0)</f>
        <v>8.0125735832502869</v>
      </c>
      <c r="F66" s="72"/>
      <c r="L66" s="33" t="s">
        <v>178</v>
      </c>
    </row>
    <row r="67" spans="2:12" ht="15.75" customHeight="1" x14ac:dyDescent="0.25">
      <c r="B67" s="34" t="s">
        <v>179</v>
      </c>
      <c r="E67" s="71">
        <f>IFERROR(J51/SUM([2]Допущения!$C$10:$G$10),0)</f>
        <v>6.0401363461766736E-2</v>
      </c>
      <c r="F67" s="72"/>
      <c r="L67" s="33" t="s">
        <v>180</v>
      </c>
    </row>
    <row r="68" spans="2:12" ht="15.75" customHeight="1" x14ac:dyDescent="0.25">
      <c r="B68" s="34" t="s">
        <v>181</v>
      </c>
      <c r="E68" s="73">
        <f>IFERROR(J15/J51,0)</f>
        <v>9.0625253474794887E-2</v>
      </c>
      <c r="F68" s="72"/>
      <c r="L68" s="33" t="s">
        <v>182</v>
      </c>
    </row>
    <row r="69" spans="2:12" ht="15.75" customHeight="1" x14ac:dyDescent="0.25">
      <c r="B69" s="34" t="s">
        <v>183</v>
      </c>
      <c r="E69" s="73">
        <f>IFERROR(J32/J51,0)</f>
        <v>0.59649385547063627</v>
      </c>
      <c r="F69" s="72"/>
      <c r="L69" s="33" t="s">
        <v>184</v>
      </c>
    </row>
    <row r="70" spans="2:12" ht="15.75" customHeight="1" x14ac:dyDescent="0.25">
      <c r="B70" s="34" t="s">
        <v>185</v>
      </c>
      <c r="E70" s="73">
        <f>IFERROR(J40/J51,0)</f>
        <v>0.12981940872906694</v>
      </c>
      <c r="F70" s="72"/>
      <c r="L70" s="33" t="s">
        <v>186</v>
      </c>
    </row>
    <row r="71" spans="2:12" ht="15.75" customHeight="1" x14ac:dyDescent="0.25"/>
    <row r="72" spans="2:12" ht="15.75" customHeight="1" x14ac:dyDescent="0.25">
      <c r="B72" s="74" t="s">
        <v>187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</row>
    <row r="73" spans="2:12" ht="15" customHeight="1" x14ac:dyDescent="0.25">
      <c r="B73" s="76" t="s">
        <v>188</v>
      </c>
      <c r="C73" s="77"/>
      <c r="D73" s="77"/>
      <c r="E73" s="77"/>
      <c r="F73" s="77"/>
      <c r="G73" s="77"/>
      <c r="H73" s="77"/>
      <c r="I73" s="77"/>
      <c r="J73" s="77"/>
      <c r="K73" s="77"/>
      <c r="L73" s="78"/>
    </row>
    <row r="74" spans="2:12" ht="15.75" customHeight="1" x14ac:dyDescent="0.25">
      <c r="B74" s="79"/>
      <c r="C74" s="75"/>
      <c r="D74" s="75"/>
      <c r="E74" s="75"/>
      <c r="F74" s="75"/>
      <c r="G74" s="75"/>
      <c r="H74" s="75"/>
      <c r="I74" s="75"/>
      <c r="J74" s="75"/>
      <c r="K74" s="75"/>
      <c r="L74" s="80"/>
    </row>
    <row r="75" spans="2:12" ht="15.75" customHeight="1" x14ac:dyDescent="0.25">
      <c r="B75" s="81"/>
      <c r="C75" s="82"/>
      <c r="D75" s="82"/>
      <c r="E75" s="82"/>
      <c r="F75" s="82"/>
      <c r="G75" s="82"/>
      <c r="H75" s="82"/>
      <c r="I75" s="82"/>
      <c r="J75" s="82"/>
      <c r="K75" s="82"/>
      <c r="L75" s="83"/>
    </row>
    <row r="76" spans="2:12" ht="15.75" customHeight="1" x14ac:dyDescent="0.25"/>
    <row r="77" spans="2:12" ht="15.75" customHeight="1" x14ac:dyDescent="0.25"/>
    <row r="78" spans="2:12" ht="15.75" customHeight="1" x14ac:dyDescent="0.25"/>
    <row r="79" spans="2:12" ht="15.75" customHeight="1" x14ac:dyDescent="0.25"/>
    <row r="80" spans="2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E63:F63"/>
    <mergeCell ref="L53:L57"/>
    <mergeCell ref="E59:F59"/>
    <mergeCell ref="E60:F60"/>
    <mergeCell ref="E61:F61"/>
    <mergeCell ref="E62:F62"/>
    <mergeCell ref="E70:F70"/>
    <mergeCell ref="B72:L72"/>
    <mergeCell ref="B73:L75"/>
    <mergeCell ref="E64:F64"/>
    <mergeCell ref="E65:F65"/>
    <mergeCell ref="E66:F66"/>
    <mergeCell ref="E67:F67"/>
    <mergeCell ref="E68:F68"/>
    <mergeCell ref="E69:F69"/>
  </mergeCells>
  <dataValidations count="1">
    <dataValidation type="list" allowBlank="1" sqref="C6:C51">
      <formula1>"фикс,инфляция,ФОТ,пользователи,заказы,GMV"</formula1>
    </dataValidation>
  </dataValidation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Допущения</vt:lpstr>
      <vt:lpstr>TCO Монолит</vt:lpstr>
      <vt:lpstr>TCO EDA</vt:lpstr>
      <vt:lpstr>TCO Oracle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Булдыгин Николай</cp:lastModifiedBy>
  <dcterms:created xsi:type="dcterms:W3CDTF">2026-08-24T07:50:39Z</dcterms:created>
  <dcterms:modified xsi:type="dcterms:W3CDTF">2026-09-28T06:20:01Z</dcterms:modified>
</cp:coreProperties>
</file>